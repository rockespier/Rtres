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\rtres-net\Rtres\Documentacion\"/>
    </mc:Choice>
  </mc:AlternateContent>
  <bookViews>
    <workbookView xWindow="0" yWindow="0" windowWidth="23040" windowHeight="9072"/>
  </bookViews>
  <sheets>
    <sheet name="Foglio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0" i="1" l="1"/>
  <c r="S162" i="1" s="1"/>
  <c r="S157" i="1"/>
  <c r="I157" i="1"/>
  <c r="D156" i="1"/>
  <c r="D155" i="1"/>
  <c r="S154" i="1"/>
  <c r="N154" i="1"/>
  <c r="N157" i="1" s="1"/>
  <c r="D154" i="1"/>
  <c r="D157" i="1" s="1"/>
  <c r="N150" i="1"/>
  <c r="D150" i="1"/>
  <c r="I149" i="1"/>
  <c r="I150" i="1" s="1"/>
  <c r="D149" i="1"/>
  <c r="D148" i="1"/>
  <c r="S147" i="1"/>
  <c r="S150" i="1" s="1"/>
  <c r="D147" i="1"/>
  <c r="N143" i="1"/>
  <c r="I143" i="1"/>
  <c r="D143" i="1"/>
  <c r="I142" i="1"/>
  <c r="D142" i="1"/>
  <c r="D141" i="1"/>
  <c r="S140" i="1"/>
  <c r="S143" i="1" s="1"/>
  <c r="I140" i="1"/>
  <c r="D140" i="1"/>
  <c r="S136" i="1"/>
  <c r="S137" i="1" s="1"/>
  <c r="S135" i="1"/>
  <c r="S134" i="1"/>
  <c r="S128" i="1"/>
  <c r="S127" i="1"/>
  <c r="S129" i="1" s="1"/>
  <c r="S121" i="1"/>
  <c r="S120" i="1"/>
  <c r="S122" i="1" s="1"/>
  <c r="S113" i="1"/>
  <c r="S112" i="1"/>
  <c r="R106" i="1"/>
  <c r="S106" i="1" s="1"/>
  <c r="S105" i="1"/>
  <c r="S104" i="1"/>
  <c r="S83" i="1"/>
  <c r="S82" i="1"/>
  <c r="S81" i="1"/>
  <c r="S84" i="1" s="1"/>
  <c r="S58" i="1"/>
  <c r="S57" i="1"/>
  <c r="S56" i="1"/>
  <c r="S59" i="1" s="1"/>
  <c r="S40" i="1"/>
  <c r="S39" i="1"/>
  <c r="S41" i="1" s="1"/>
  <c r="S21" i="1"/>
  <c r="S11" i="1"/>
  <c r="S22" i="1" s="1"/>
  <c r="N137" i="1"/>
  <c r="N129" i="1"/>
  <c r="N122" i="1"/>
  <c r="N115" i="1"/>
  <c r="N107" i="1"/>
  <c r="N81" i="1"/>
  <c r="N84" i="1" s="1"/>
  <c r="N59" i="1"/>
  <c r="N41" i="1"/>
  <c r="N22" i="1"/>
  <c r="I137" i="1"/>
  <c r="I127" i="1"/>
  <c r="I129" i="1" s="1"/>
  <c r="I121" i="1"/>
  <c r="I120" i="1"/>
  <c r="I119" i="1"/>
  <c r="I122" i="1" s="1"/>
  <c r="I115" i="1"/>
  <c r="I107" i="1"/>
  <c r="I104" i="1"/>
  <c r="I88" i="1"/>
  <c r="I83" i="1"/>
  <c r="I82" i="1"/>
  <c r="I84" i="1" s="1"/>
  <c r="I58" i="1"/>
  <c r="I56" i="1"/>
  <c r="I59" i="1" s="1"/>
  <c r="I41" i="1"/>
  <c r="I39" i="1"/>
  <c r="I21" i="1"/>
  <c r="I11" i="1"/>
  <c r="I22" i="1" s="1"/>
  <c r="D135" i="1"/>
  <c r="D134" i="1"/>
  <c r="D133" i="1"/>
  <c r="D137" i="1" s="1"/>
  <c r="D128" i="1"/>
  <c r="D127" i="1"/>
  <c r="D126" i="1"/>
  <c r="D129" i="1" s="1"/>
  <c r="D121" i="1"/>
  <c r="D120" i="1"/>
  <c r="D119" i="1"/>
  <c r="D122" i="1" s="1"/>
  <c r="C113" i="1"/>
  <c r="D113" i="1" s="1"/>
  <c r="D112" i="1"/>
  <c r="D115" i="1" s="1"/>
  <c r="D111" i="1"/>
  <c r="D90" i="1"/>
  <c r="D88" i="1"/>
  <c r="D107" i="1" s="1"/>
  <c r="D65" i="1"/>
  <c r="D64" i="1"/>
  <c r="D63" i="1"/>
  <c r="D84" i="1" s="1"/>
  <c r="D44" i="1"/>
  <c r="D59" i="1" s="1"/>
  <c r="D26" i="1"/>
  <c r="D41" i="1" s="1"/>
  <c r="D4" i="1"/>
  <c r="D22" i="1" s="1"/>
  <c r="S107" i="1" l="1"/>
  <c r="S115" i="1" l="1"/>
</calcChain>
</file>

<file path=xl/comments1.xml><?xml version="1.0" encoding="utf-8"?>
<comments xmlns="http://schemas.openxmlformats.org/spreadsheetml/2006/main">
  <authors>
    <author/>
  </authors>
  <commentList>
    <comment ref="M154" authorId="0" shapeId="0">
      <text>
        <r>
          <rPr>
            <sz val="11"/>
            <color theme="1"/>
            <rFont val="Calibri"/>
            <scheme val="minor"/>
          </rPr>
          <t>======
ID#AAAB8uZ8Ztw
RRamos    (2026-06-04 19:10:25)
Vamos actualizar a un plan superior por $525</t>
        </r>
      </text>
    </comment>
  </commentList>
</comments>
</file>

<file path=xl/sharedStrings.xml><?xml version="1.0" encoding="utf-8"?>
<sst xmlns="http://schemas.openxmlformats.org/spreadsheetml/2006/main" count="325" uniqueCount="53">
  <si>
    <t>IA</t>
  </si>
  <si>
    <t>Enero</t>
  </si>
  <si>
    <t>Fecha</t>
  </si>
  <si>
    <t>Detalle</t>
  </si>
  <si>
    <t>Importe Original</t>
  </si>
  <si>
    <t>Importe Soles</t>
  </si>
  <si>
    <t>Github Copilot</t>
  </si>
  <si>
    <t>Febrero</t>
  </si>
  <si>
    <t>Marzo</t>
  </si>
  <si>
    <t>Abril</t>
  </si>
  <si>
    <t>ChatGpt</t>
  </si>
  <si>
    <t>Claude</t>
  </si>
  <si>
    <t>Mayo</t>
  </si>
  <si>
    <t>Junio</t>
  </si>
  <si>
    <t>Julio</t>
  </si>
  <si>
    <t>ChatGPT</t>
  </si>
  <si>
    <t>Agosto</t>
  </si>
  <si>
    <t>Septiembre</t>
  </si>
  <si>
    <t>Dominios</t>
  </si>
  <si>
    <t>Dominio skilia.pe</t>
  </si>
  <si>
    <t>Dominio ristorantemadeinperu.it</t>
  </si>
  <si>
    <t>gestionaminegocio.com</t>
  </si>
  <si>
    <t>Dominio soluzionipersitiweb.it</t>
  </si>
  <si>
    <t>joshuastailor.com</t>
  </si>
  <si>
    <t>atiqconsultoria.com</t>
  </si>
  <si>
    <t>atiqeducacion.com</t>
  </si>
  <si>
    <t>gabrieljuarezart.com</t>
  </si>
  <si>
    <t>Dominio Embarcate</t>
  </si>
  <si>
    <t>javiermarinecanvas.com</t>
  </si>
  <si>
    <t>rtres.net </t>
  </si>
  <si>
    <t>Dominio growapp.pe</t>
  </si>
  <si>
    <t>r3solucionesweb.com</t>
  </si>
  <si>
    <t>Hosting</t>
  </si>
  <si>
    <t>hosting webempresa</t>
  </si>
  <si>
    <t>mochahost 1</t>
  </si>
  <si>
    <t>Deudas</t>
  </si>
  <si>
    <t>Prestamo Casa</t>
  </si>
  <si>
    <t>Prestamo SUNAT</t>
  </si>
  <si>
    <t>Contadora</t>
  </si>
  <si>
    <t>Deuda Leslie Soles</t>
  </si>
  <si>
    <t>Deuda Leslie Dolares</t>
  </si>
  <si>
    <t>Fracc SUNAT</t>
  </si>
  <si>
    <t>PDT</t>
  </si>
  <si>
    <t>Deuda leslie Soles</t>
  </si>
  <si>
    <t>Frac SUNAT</t>
  </si>
  <si>
    <t>Octubre</t>
  </si>
  <si>
    <t>jonnymotorsperu.com</t>
  </si>
  <si>
    <t>Dominio casobtempus.com.pe</t>
  </si>
  <si>
    <t>Noviembre</t>
  </si>
  <si>
    <t>tsassistance.net</t>
  </si>
  <si>
    <t>Diciembre</t>
  </si>
  <si>
    <t>Hosting Elastika</t>
  </si>
  <si>
    <t>18/02/206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</si>
</sst>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_-[$S/-280A]\ * #,##0.00_-;\-[$S/-280A]\ * #,##0.00_-;_-[$S/-280A]\ * &quot;-&quot;??_-;_-@"/>
    <numFmt numFmtId="166" formatCode="_-* #,##0.00\ &quot;€&quot;_-;\-* #,##0.00\ &quot;€&quot;_-;_-* &quot;-&quot;??\ &quot;€&quot;_-;_-@"/>
    <numFmt numFmtId="167" formatCode="_-* #,##0.00\ [$€-410]_-;\-* #,##0.00\ [$€-410]_-;_-* &quot;-&quot;??\ [$€-410]_-;_-@_-"/>
    <numFmt numFmtId="168" formatCode="_-* #,##0.00\ [$€-410]_-;\-* #,##0.00\ [$€-410]_-;_-* &quot;-&quot;??\ [$€-410]_-;_-@"/>
    <numFmt numFmtId="169" formatCode="d/m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  <family val="2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6">
    <xf numFmtId="0" fontId="0" fillId="0" borderId="0" xfId="0"/>
    <xf numFmtId="14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14" fontId="5" fillId="0" borderId="5" xfId="0" applyNumberFormat="1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164" fontId="5" fillId="0" borderId="5" xfId="1" applyNumberFormat="1" applyFont="1" applyBorder="1" applyAlignment="1">
      <alignment horizontal="right"/>
    </xf>
    <xf numFmtId="165" fontId="5" fillId="0" borderId="5" xfId="0" applyNumberFormat="1" applyFont="1" applyBorder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165" fontId="5" fillId="0" borderId="5" xfId="0" applyNumberFormat="1" applyFont="1" applyBorder="1" applyAlignment="1">
      <alignment horizontal="right"/>
    </xf>
    <xf numFmtId="14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left"/>
    </xf>
    <xf numFmtId="166" fontId="5" fillId="0" borderId="7" xfId="0" applyNumberFormat="1" applyFont="1" applyBorder="1" applyAlignment="1">
      <alignment horizontal="right"/>
    </xf>
    <xf numFmtId="165" fontId="5" fillId="0" borderId="6" xfId="0" applyNumberFormat="1" applyFont="1" applyBorder="1"/>
    <xf numFmtId="14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166" fontId="5" fillId="0" borderId="0" xfId="0" applyNumberFormat="1" applyFont="1" applyBorder="1" applyAlignment="1">
      <alignment horizontal="right"/>
    </xf>
    <xf numFmtId="165" fontId="5" fillId="0" borderId="4" xfId="0" applyNumberFormat="1" applyFont="1" applyBorder="1"/>
    <xf numFmtId="1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0" fillId="0" borderId="0" xfId="0" applyFont="1" applyBorder="1" applyAlignment="1"/>
    <xf numFmtId="14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right"/>
    </xf>
    <xf numFmtId="0" fontId="5" fillId="0" borderId="5" xfId="0" applyFont="1" applyBorder="1"/>
    <xf numFmtId="0" fontId="8" fillId="0" borderId="0" xfId="0" applyFont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right"/>
    </xf>
    <xf numFmtId="165" fontId="5" fillId="0" borderId="0" xfId="0" applyNumberFormat="1" applyFont="1" applyBorder="1"/>
    <xf numFmtId="166" fontId="5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167" fontId="5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horizontal="left" vertical="center" wrapText="1"/>
    </xf>
    <xf numFmtId="168" fontId="5" fillId="0" borderId="5" xfId="0" applyNumberFormat="1" applyFont="1" applyBorder="1" applyAlignment="1">
      <alignment horizontal="right"/>
    </xf>
    <xf numFmtId="168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165" fontId="5" fillId="0" borderId="0" xfId="0" applyNumberFormat="1" applyFont="1" applyBorder="1" applyAlignment="1">
      <alignment horizontal="right"/>
    </xf>
    <xf numFmtId="14" fontId="6" fillId="0" borderId="5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9" fontId="5" fillId="0" borderId="5" xfId="0" applyNumberFormat="1" applyFont="1" applyBorder="1"/>
    <xf numFmtId="169" fontId="5" fillId="0" borderId="6" xfId="0" applyNumberFormat="1" applyFont="1" applyBorder="1"/>
    <xf numFmtId="0" fontId="5" fillId="0" borderId="6" xfId="0" applyFont="1" applyBorder="1"/>
    <xf numFmtId="166" fontId="5" fillId="0" borderId="7" xfId="0" applyNumberFormat="1" applyFont="1" applyBorder="1"/>
    <xf numFmtId="169" fontId="5" fillId="0" borderId="0" xfId="0" applyNumberFormat="1" applyFont="1"/>
    <xf numFmtId="0" fontId="5" fillId="0" borderId="0" xfId="0" applyFont="1"/>
    <xf numFmtId="166" fontId="5" fillId="0" borderId="0" xfId="0" applyNumberFormat="1" applyFont="1"/>
    <xf numFmtId="165" fontId="5" fillId="0" borderId="8" xfId="0" applyNumberFormat="1" applyFont="1" applyBorder="1"/>
    <xf numFmtId="0" fontId="0" fillId="0" borderId="0" xfId="0" applyFont="1" applyAlignment="1"/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9" fontId="5" fillId="0" borderId="8" xfId="0" applyNumberFormat="1" applyFont="1" applyBorder="1"/>
    <xf numFmtId="0" fontId="8" fillId="0" borderId="8" xfId="0" applyFont="1" applyBorder="1" applyAlignment="1">
      <alignment vertical="center" wrapText="1"/>
    </xf>
    <xf numFmtId="164" fontId="5" fillId="0" borderId="8" xfId="0" applyNumberFormat="1" applyFont="1" applyBorder="1"/>
    <xf numFmtId="0" fontId="5" fillId="0" borderId="8" xfId="0" applyFont="1" applyBorder="1"/>
    <xf numFmtId="166" fontId="5" fillId="0" borderId="8" xfId="0" applyNumberFormat="1" applyFont="1" applyBorder="1"/>
    <xf numFmtId="168" fontId="5" fillId="0" borderId="8" xfId="0" applyNumberFormat="1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6" xfId="0" applyFont="1" applyBorder="1" applyAlignment="1">
      <alignment horizontal="center"/>
    </xf>
    <xf numFmtId="165" fontId="5" fillId="0" borderId="1" xfId="0" applyNumberFormat="1" applyFont="1" applyBorder="1"/>
    <xf numFmtId="166" fontId="5" fillId="0" borderId="1" xfId="0" applyNumberFormat="1" applyFont="1" applyBorder="1"/>
    <xf numFmtId="0" fontId="5" fillId="0" borderId="4" xfId="0" applyFont="1" applyBorder="1" applyAlignment="1">
      <alignment horizontal="center"/>
    </xf>
    <xf numFmtId="168" fontId="5" fillId="0" borderId="6" xfId="0" applyNumberFormat="1" applyFont="1" applyBorder="1"/>
    <xf numFmtId="0" fontId="5" fillId="0" borderId="8" xfId="0" applyFont="1" applyBorder="1" applyAlignment="1">
      <alignment horizontal="right"/>
    </xf>
    <xf numFmtId="165" fontId="3" fillId="0" borderId="0" xfId="0" applyNumberFormat="1" applyFont="1"/>
    <xf numFmtId="0" fontId="8" fillId="0" borderId="0" xfId="0" applyFont="1" applyAlignment="1">
      <alignment vertical="center" wrapText="1"/>
    </xf>
    <xf numFmtId="164" fontId="5" fillId="0" borderId="0" xfId="0" applyNumberFormat="1" applyFont="1"/>
    <xf numFmtId="165" fontId="5" fillId="0" borderId="0" xfId="0" applyNumberFormat="1" applyFont="1"/>
    <xf numFmtId="165" fontId="7" fillId="0" borderId="0" xfId="0" applyNumberFormat="1" applyFont="1"/>
    <xf numFmtId="168" fontId="5" fillId="0" borderId="0" xfId="0" applyNumberFormat="1" applyFont="1"/>
    <xf numFmtId="0" fontId="5" fillId="2" borderId="8" xfId="0" applyFont="1" applyFill="1" applyBorder="1"/>
    <xf numFmtId="165" fontId="5" fillId="2" borderId="1" xfId="0" applyNumberFormat="1" applyFont="1" applyFill="1" applyBorder="1"/>
    <xf numFmtId="0" fontId="5" fillId="0" borderId="4" xfId="0" applyFont="1" applyBorder="1"/>
    <xf numFmtId="164" fontId="5" fillId="0" borderId="4" xfId="0" applyNumberFormat="1" applyFont="1" applyBorder="1"/>
    <xf numFmtId="0" fontId="8" fillId="0" borderId="4" xfId="0" applyFont="1" applyBorder="1" applyAlignment="1">
      <alignment vertical="center" wrapText="1"/>
    </xf>
    <xf numFmtId="165" fontId="5" fillId="0" borderId="10" xfId="0" applyNumberFormat="1" applyFont="1" applyBorder="1"/>
    <xf numFmtId="164" fontId="5" fillId="2" borderId="8" xfId="0" applyNumberFormat="1" applyFont="1" applyFill="1" applyBorder="1"/>
    <xf numFmtId="14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9" xfId="0" applyFont="1" applyBorder="1"/>
    <xf numFmtId="0" fontId="4" fillId="0" borderId="13" xfId="0" applyFont="1" applyBorder="1"/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4" fontId="5" fillId="0" borderId="8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14" fontId="5" fillId="2" borderId="8" xfId="0" applyNumberFormat="1" applyFont="1" applyFill="1" applyBorder="1" applyAlignment="1">
      <alignment horizontal="right"/>
    </xf>
    <xf numFmtId="14" fontId="5" fillId="0" borderId="9" xfId="0" applyNumberFormat="1" applyFont="1" applyBorder="1" applyAlignment="1">
      <alignment horizontal="right"/>
    </xf>
    <xf numFmtId="14" fontId="5" fillId="0" borderId="4" xfId="0" applyNumberFormat="1" applyFont="1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3websolutions/ventas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"/>
      <sheetName val="Resumen"/>
      <sheetName val="Gastos Mensuales"/>
      <sheetName val="Calculos"/>
      <sheetName val="Hosting VPS"/>
    </sheetNames>
    <sheetDataSet>
      <sheetData sheetId="0"/>
      <sheetData sheetId="1">
        <row r="9">
          <cell r="H9">
            <v>1637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clients.mochahost.com/products/contracts/96e02e51-36d4-2220-2095-f1429807875d/product/53087682-51d4-8758-ed52-f847e390921e" TargetMode="External"/><Relationship Id="rId7" Type="http://schemas.openxmlformats.org/officeDocument/2006/relationships/hyperlink" Target="https://clients.mochahost.com/products/contracts/831d6350-d824-9220-2d12-c849e176259e/product/381d780e-72d4-d1d3-ede0-b7413569926e" TargetMode="External"/><Relationship Id="rId2" Type="http://schemas.openxmlformats.org/officeDocument/2006/relationships/hyperlink" Target="https://clients.mochahost.com/products/contracts/52d137e0-8d24-1590-98d1-b3495163789e/product/53087682-51d4-87e3-1059-a847e390921e" TargetMode="External"/><Relationship Id="rId1" Type="http://schemas.openxmlformats.org/officeDocument/2006/relationships/hyperlink" Target="https://clients.mochahost.com/products/contracts/53087682-51d4-8770-68ed-b847e390921e/product/53087682-51d4-8757-920d-a847e390921e" TargetMode="External"/><Relationship Id="rId6" Type="http://schemas.openxmlformats.org/officeDocument/2006/relationships/hyperlink" Target="https://clients.mochahost.com/products/contracts/96e02e51-36d4-2229-0782-f1429807875d/product/52d137e0-8d24-1505-e965-a3495163789e" TargetMode="External"/><Relationship Id="rId5" Type="http://schemas.openxmlformats.org/officeDocument/2006/relationships/hyperlink" Target="https://clients.mochahost.com/products/contracts/e071d931-d5e4-6228-d808-c54602875839/product/53087682-51d4-8758-dd57-c847e390921e" TargetMode="External"/><Relationship Id="rId4" Type="http://schemas.openxmlformats.org/officeDocument/2006/relationships/hyperlink" Target="https://clients.mochahost.com/products/contracts/1e509897-3d24-7885-e610-c345e610832d/product/1e509897-3d24-7858-8d2e-f345e610832d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62"/>
  <sheetViews>
    <sheetView tabSelected="1" topLeftCell="A145" workbookViewId="0">
      <selection activeCell="P107" sqref="P107"/>
    </sheetView>
  </sheetViews>
  <sheetFormatPr defaultRowHeight="14.4"/>
  <cols>
    <col min="6" max="6" width="10.5546875" bestFit="1" customWidth="1"/>
    <col min="16" max="16" width="15.6640625" style="115" customWidth="1"/>
    <col min="17" max="17" width="14.44140625" customWidth="1"/>
    <col min="18" max="18" width="14.33203125" bestFit="1" customWidth="1"/>
    <col min="19" max="19" width="12.21875" bestFit="1" customWidth="1"/>
  </cols>
  <sheetData>
    <row r="1" spans="1:19" ht="15" thickBot="1">
      <c r="A1" s="90" t="s">
        <v>0</v>
      </c>
      <c r="B1" s="91"/>
      <c r="C1" s="91"/>
      <c r="D1" s="92"/>
      <c r="F1" s="95" t="s">
        <v>18</v>
      </c>
      <c r="G1" s="91"/>
      <c r="H1" s="91"/>
      <c r="I1" s="92"/>
      <c r="K1" s="95" t="s">
        <v>32</v>
      </c>
      <c r="L1" s="91"/>
      <c r="M1" s="91"/>
      <c r="N1" s="92"/>
      <c r="P1" s="105" t="s">
        <v>35</v>
      </c>
      <c r="Q1" s="106"/>
      <c r="R1" s="106"/>
      <c r="S1" s="107"/>
    </row>
    <row r="2" spans="1:19">
      <c r="A2" s="90" t="s">
        <v>1</v>
      </c>
      <c r="B2" s="93"/>
      <c r="C2" s="93"/>
      <c r="D2" s="94"/>
      <c r="F2" s="90" t="s">
        <v>1</v>
      </c>
      <c r="G2" s="93"/>
      <c r="H2" s="93"/>
      <c r="I2" s="94"/>
      <c r="K2" s="99" t="s">
        <v>1</v>
      </c>
      <c r="L2" s="100"/>
      <c r="M2" s="100"/>
      <c r="N2" s="101"/>
      <c r="P2" s="108" t="s">
        <v>1</v>
      </c>
      <c r="Q2" s="103"/>
      <c r="R2" s="103"/>
      <c r="S2" s="53"/>
    </row>
    <row r="3" spans="1:19">
      <c r="A3" s="1" t="s">
        <v>2</v>
      </c>
      <c r="B3" s="2" t="s">
        <v>3</v>
      </c>
      <c r="C3" s="3" t="s">
        <v>4</v>
      </c>
      <c r="D3" s="4" t="s">
        <v>5</v>
      </c>
      <c r="F3" s="44" t="s">
        <v>2</v>
      </c>
      <c r="G3" s="44" t="s">
        <v>3</v>
      </c>
      <c r="H3" s="44" t="s">
        <v>4</v>
      </c>
      <c r="I3" s="4" t="s">
        <v>5</v>
      </c>
      <c r="K3" s="28" t="s">
        <v>2</v>
      </c>
      <c r="L3" s="28" t="s">
        <v>3</v>
      </c>
      <c r="M3" s="28" t="s">
        <v>4</v>
      </c>
      <c r="N3" s="28" t="s">
        <v>5</v>
      </c>
      <c r="P3" s="110" t="s">
        <v>2</v>
      </c>
      <c r="Q3" s="57" t="s">
        <v>3</v>
      </c>
      <c r="R3" s="57" t="s">
        <v>4</v>
      </c>
      <c r="S3" s="57" t="s">
        <v>5</v>
      </c>
    </row>
    <row r="4" spans="1:19">
      <c r="A4" s="5">
        <v>46029</v>
      </c>
      <c r="B4" s="6" t="s">
        <v>6</v>
      </c>
      <c r="C4" s="7">
        <v>10</v>
      </c>
      <c r="D4" s="8">
        <f>C4*3.36</f>
        <v>33.6</v>
      </c>
      <c r="F4" s="11"/>
      <c r="G4" s="11"/>
      <c r="H4" s="11"/>
      <c r="I4" s="11"/>
      <c r="K4" s="67"/>
      <c r="L4" s="67"/>
      <c r="M4" s="67"/>
      <c r="N4" s="67"/>
      <c r="P4" s="110"/>
      <c r="Q4" s="57"/>
      <c r="R4" s="57"/>
      <c r="S4" s="57"/>
    </row>
    <row r="5" spans="1:19">
      <c r="A5" s="5"/>
      <c r="B5" s="9"/>
      <c r="C5" s="10"/>
      <c r="D5" s="11"/>
      <c r="F5" s="11"/>
      <c r="G5" s="11"/>
      <c r="H5" s="11"/>
      <c r="I5" s="11"/>
      <c r="K5" s="57"/>
      <c r="L5" s="57"/>
      <c r="M5" s="57"/>
      <c r="N5" s="57"/>
      <c r="P5" s="110"/>
      <c r="Q5" s="57"/>
      <c r="R5" s="57"/>
      <c r="S5" s="57"/>
    </row>
    <row r="6" spans="1:19">
      <c r="A6" s="5"/>
      <c r="B6" s="9"/>
      <c r="C6" s="10"/>
      <c r="D6" s="11"/>
      <c r="F6" s="11"/>
      <c r="G6" s="11"/>
      <c r="H6" s="11"/>
      <c r="I6" s="11"/>
      <c r="K6" s="57"/>
      <c r="L6" s="57"/>
      <c r="M6" s="57"/>
      <c r="N6" s="57"/>
      <c r="P6" s="110"/>
      <c r="Q6" s="57"/>
      <c r="R6" s="57"/>
      <c r="S6" s="57"/>
    </row>
    <row r="7" spans="1:19">
      <c r="A7" s="5"/>
      <c r="B7" s="9"/>
      <c r="C7" s="10"/>
      <c r="D7" s="11"/>
      <c r="F7" s="11"/>
      <c r="G7" s="11"/>
      <c r="H7" s="11"/>
      <c r="I7" s="11"/>
      <c r="K7" s="57"/>
      <c r="L7" s="57"/>
      <c r="M7" s="57"/>
      <c r="N7" s="57"/>
      <c r="P7" s="110"/>
      <c r="Q7" s="57"/>
      <c r="R7" s="57"/>
      <c r="S7" s="57"/>
    </row>
    <row r="8" spans="1:19">
      <c r="A8" s="5"/>
      <c r="B8" s="9"/>
      <c r="C8" s="10"/>
      <c r="D8" s="11"/>
      <c r="F8" s="11"/>
      <c r="G8" s="11"/>
      <c r="H8" s="11"/>
      <c r="I8" s="11"/>
      <c r="K8" s="57"/>
      <c r="L8" s="57"/>
      <c r="M8" s="57"/>
      <c r="N8" s="57"/>
      <c r="P8" s="110"/>
      <c r="Q8" s="57"/>
      <c r="R8" s="57"/>
      <c r="S8" s="57"/>
    </row>
    <row r="9" spans="1:19">
      <c r="A9" s="5"/>
      <c r="B9" s="9"/>
      <c r="C9" s="10"/>
      <c r="D9" s="11"/>
      <c r="F9" s="11"/>
      <c r="G9" s="11"/>
      <c r="H9" s="11"/>
      <c r="I9" s="11"/>
      <c r="K9" s="57"/>
      <c r="L9" s="57"/>
      <c r="M9" s="57"/>
      <c r="N9" s="57"/>
      <c r="P9" s="110"/>
      <c r="Q9" s="57"/>
      <c r="R9" s="57"/>
      <c r="S9" s="57"/>
    </row>
    <row r="10" spans="1:19">
      <c r="A10" s="5"/>
      <c r="B10" s="9"/>
      <c r="C10" s="10"/>
      <c r="D10" s="11"/>
      <c r="F10" s="11"/>
      <c r="G10" s="11"/>
      <c r="H10" s="11"/>
      <c r="I10" s="11"/>
      <c r="K10" s="57"/>
      <c r="L10" s="57"/>
      <c r="M10" s="57"/>
      <c r="N10" s="57"/>
      <c r="P10" s="110"/>
      <c r="Q10" s="57"/>
      <c r="R10" s="57"/>
      <c r="S10" s="57"/>
    </row>
    <row r="11" spans="1:19">
      <c r="A11" s="5"/>
      <c r="B11" s="9"/>
      <c r="C11" s="12"/>
      <c r="D11" s="8"/>
      <c r="F11" s="45">
        <v>46035</v>
      </c>
      <c r="G11" s="31" t="s">
        <v>19</v>
      </c>
      <c r="H11" s="8">
        <v>120</v>
      </c>
      <c r="I11" s="8">
        <f>H11</f>
        <v>120</v>
      </c>
      <c r="K11" s="58"/>
      <c r="L11" s="61"/>
      <c r="M11" s="68"/>
      <c r="N11" s="61"/>
      <c r="P11" s="110">
        <v>46035</v>
      </c>
      <c r="Q11" s="61" t="s">
        <v>36</v>
      </c>
      <c r="R11" s="52">
        <v>1820</v>
      </c>
      <c r="S11" s="52">
        <f>R11</f>
        <v>1820</v>
      </c>
    </row>
    <row r="12" spans="1:19">
      <c r="A12" s="5"/>
      <c r="B12" s="9"/>
      <c r="C12" s="12"/>
      <c r="D12" s="8"/>
      <c r="F12" s="45"/>
      <c r="G12" s="31"/>
      <c r="H12" s="8"/>
      <c r="I12" s="8"/>
      <c r="K12" s="58"/>
      <c r="L12" s="61"/>
      <c r="M12" s="68"/>
      <c r="N12" s="61"/>
      <c r="P12" s="110"/>
      <c r="Q12" s="61"/>
      <c r="R12" s="52"/>
      <c r="S12" s="52"/>
    </row>
    <row r="13" spans="1:19">
      <c r="A13" s="5"/>
      <c r="B13" s="9"/>
      <c r="C13" s="12"/>
      <c r="D13" s="8"/>
      <c r="F13" s="45"/>
      <c r="G13" s="31"/>
      <c r="H13" s="8"/>
      <c r="I13" s="8"/>
      <c r="K13" s="58"/>
      <c r="L13" s="61"/>
      <c r="M13" s="68"/>
      <c r="N13" s="61"/>
      <c r="P13" s="110"/>
      <c r="Q13" s="61"/>
      <c r="R13" s="52"/>
      <c r="S13" s="52"/>
    </row>
    <row r="14" spans="1:19">
      <c r="A14" s="5"/>
      <c r="B14" s="9"/>
      <c r="C14" s="12"/>
      <c r="D14" s="8"/>
      <c r="F14" s="45"/>
      <c r="G14" s="31"/>
      <c r="H14" s="8"/>
      <c r="I14" s="8"/>
      <c r="K14" s="58"/>
      <c r="L14" s="61"/>
      <c r="M14" s="68"/>
      <c r="N14" s="61"/>
      <c r="P14" s="110"/>
      <c r="Q14" s="61"/>
      <c r="R14" s="52"/>
      <c r="S14" s="52"/>
    </row>
    <row r="15" spans="1:19">
      <c r="A15" s="5"/>
      <c r="B15" s="9"/>
      <c r="C15" s="12"/>
      <c r="D15" s="8"/>
      <c r="F15" s="45"/>
      <c r="G15" s="31"/>
      <c r="H15" s="8"/>
      <c r="I15" s="8"/>
      <c r="K15" s="58"/>
      <c r="L15" s="61"/>
      <c r="M15" s="68"/>
      <c r="N15" s="61"/>
      <c r="P15" s="110"/>
      <c r="Q15" s="61"/>
      <c r="R15" s="52"/>
      <c r="S15" s="52"/>
    </row>
    <row r="16" spans="1:19">
      <c r="A16" s="5"/>
      <c r="B16" s="9"/>
      <c r="C16" s="12"/>
      <c r="D16" s="8"/>
      <c r="F16" s="45"/>
      <c r="G16" s="31"/>
      <c r="H16" s="8"/>
      <c r="I16" s="8"/>
      <c r="K16" s="58"/>
      <c r="L16" s="61"/>
      <c r="M16" s="68"/>
      <c r="N16" s="61"/>
      <c r="P16" s="110"/>
      <c r="Q16" s="61"/>
      <c r="R16" s="52"/>
      <c r="S16" s="52"/>
    </row>
    <row r="17" spans="1:19">
      <c r="A17" s="5"/>
      <c r="B17" s="9"/>
      <c r="C17" s="12"/>
      <c r="D17" s="8"/>
      <c r="F17" s="45"/>
      <c r="G17" s="31"/>
      <c r="H17" s="8"/>
      <c r="I17" s="8"/>
      <c r="K17" s="58"/>
      <c r="L17" s="61"/>
      <c r="M17" s="68"/>
      <c r="N17" s="61"/>
      <c r="P17" s="110"/>
      <c r="Q17" s="61"/>
      <c r="R17" s="52"/>
      <c r="S17" s="52"/>
    </row>
    <row r="18" spans="1:19">
      <c r="A18" s="5"/>
      <c r="B18" s="9"/>
      <c r="C18" s="12"/>
      <c r="D18" s="8"/>
      <c r="F18" s="45"/>
      <c r="G18" s="31"/>
      <c r="H18" s="8"/>
      <c r="I18" s="8"/>
      <c r="K18" s="58"/>
      <c r="L18" s="61"/>
      <c r="M18" s="68"/>
      <c r="N18" s="61"/>
      <c r="P18" s="110"/>
      <c r="Q18" s="61"/>
      <c r="R18" s="52"/>
      <c r="S18" s="52"/>
    </row>
    <row r="19" spans="1:19">
      <c r="A19" s="5"/>
      <c r="B19" s="9"/>
      <c r="C19" s="12"/>
      <c r="D19" s="8"/>
      <c r="F19" s="45"/>
      <c r="G19" s="31"/>
      <c r="H19" s="8"/>
      <c r="I19" s="8"/>
      <c r="K19" s="58"/>
      <c r="L19" s="61"/>
      <c r="M19" s="68"/>
      <c r="N19" s="61"/>
      <c r="P19" s="110"/>
      <c r="Q19" s="61"/>
      <c r="R19" s="52"/>
      <c r="S19" s="52"/>
    </row>
    <row r="20" spans="1:19">
      <c r="A20" s="5"/>
      <c r="B20" s="9"/>
      <c r="C20" s="12"/>
      <c r="D20" s="8"/>
      <c r="F20" s="45"/>
      <c r="G20" s="31"/>
      <c r="H20" s="8"/>
      <c r="I20" s="8"/>
      <c r="K20" s="58"/>
      <c r="L20" s="61"/>
      <c r="M20" s="68"/>
      <c r="N20" s="61"/>
      <c r="P20" s="110"/>
      <c r="Q20" s="61"/>
      <c r="R20" s="52"/>
      <c r="S20" s="52"/>
    </row>
    <row r="21" spans="1:19">
      <c r="A21" s="13"/>
      <c r="B21" s="14"/>
      <c r="C21" s="15"/>
      <c r="D21" s="16"/>
      <c r="F21" s="46">
        <v>46045</v>
      </c>
      <c r="G21" s="47" t="s">
        <v>20</v>
      </c>
      <c r="H21" s="48">
        <v>12.2</v>
      </c>
      <c r="I21" s="16">
        <f>4.01*H21</f>
        <v>48.921999999999997</v>
      </c>
      <c r="K21" s="58"/>
      <c r="L21" s="61"/>
      <c r="M21" s="69"/>
      <c r="N21" s="61"/>
      <c r="P21" s="110">
        <v>46045</v>
      </c>
      <c r="Q21" s="61" t="s">
        <v>37</v>
      </c>
      <c r="R21" s="52">
        <v>490.77</v>
      </c>
      <c r="S21" s="52">
        <f>R21</f>
        <v>490.77</v>
      </c>
    </row>
    <row r="22" spans="1:19">
      <c r="A22" s="17"/>
      <c r="B22" s="18"/>
      <c r="C22" s="19"/>
      <c r="D22" s="20">
        <f>SUM(D4:D21)</f>
        <v>33.6</v>
      </c>
      <c r="F22" s="49"/>
      <c r="G22" s="50"/>
      <c r="H22" s="51"/>
      <c r="I22" s="52">
        <f>SUM(I11:I21)</f>
        <v>168.922</v>
      </c>
      <c r="K22" s="49"/>
      <c r="L22" s="50"/>
      <c r="M22" s="51"/>
      <c r="N22" s="50">
        <f>SUM(N11:N21)</f>
        <v>0</v>
      </c>
      <c r="P22" s="111"/>
      <c r="Q22" s="50"/>
      <c r="R22" s="51"/>
      <c r="S22" s="73">
        <f>SUM(S11:S21)</f>
        <v>2310.77</v>
      </c>
    </row>
    <row r="23" spans="1:19">
      <c r="A23" s="21"/>
      <c r="B23" s="22"/>
      <c r="C23" s="23"/>
      <c r="D23" s="24"/>
      <c r="F23" s="53"/>
      <c r="G23" s="53"/>
      <c r="H23" s="53"/>
      <c r="I23" s="53"/>
      <c r="K23" s="53"/>
      <c r="L23" s="53"/>
      <c r="M23" s="53"/>
      <c r="N23" s="53"/>
      <c r="P23" s="86"/>
      <c r="Q23" s="53"/>
      <c r="R23" s="53"/>
      <c r="S23" s="53"/>
    </row>
    <row r="24" spans="1:19">
      <c r="A24" s="89" t="s">
        <v>7</v>
      </c>
      <c r="B24" s="89"/>
      <c r="C24" s="89"/>
      <c r="D24" s="89"/>
      <c r="F24" s="96" t="s">
        <v>7</v>
      </c>
      <c r="G24" s="97"/>
      <c r="H24" s="97"/>
      <c r="I24" s="97"/>
      <c r="K24" s="98" t="s">
        <v>7</v>
      </c>
      <c r="L24" s="91"/>
      <c r="M24" s="92"/>
      <c r="N24" s="53"/>
      <c r="P24" s="98" t="s">
        <v>7</v>
      </c>
      <c r="Q24" s="91"/>
      <c r="R24" s="92"/>
      <c r="S24" s="61"/>
    </row>
    <row r="25" spans="1:19">
      <c r="A25" s="25" t="s">
        <v>2</v>
      </c>
      <c r="B25" s="26" t="s">
        <v>3</v>
      </c>
      <c r="C25" s="27" t="s">
        <v>4</v>
      </c>
      <c r="D25" s="28" t="s">
        <v>5</v>
      </c>
      <c r="F25" s="54" t="s">
        <v>2</v>
      </c>
      <c r="G25" s="54" t="s">
        <v>3</v>
      </c>
      <c r="H25" s="54" t="s">
        <v>4</v>
      </c>
      <c r="I25" s="55" t="s">
        <v>5</v>
      </c>
      <c r="K25" s="57" t="s">
        <v>2</v>
      </c>
      <c r="L25" s="57" t="s">
        <v>3</v>
      </c>
      <c r="M25" s="57" t="s">
        <v>4</v>
      </c>
      <c r="N25" s="57" t="s">
        <v>5</v>
      </c>
      <c r="P25" s="110" t="s">
        <v>2</v>
      </c>
      <c r="Q25" s="57" t="s">
        <v>3</v>
      </c>
      <c r="R25" s="57" t="s">
        <v>4</v>
      </c>
      <c r="S25" s="57" t="s">
        <v>5</v>
      </c>
    </row>
    <row r="26" spans="1:19">
      <c r="A26" s="5">
        <v>46060</v>
      </c>
      <c r="B26" s="6" t="s">
        <v>6</v>
      </c>
      <c r="C26" s="7">
        <v>10</v>
      </c>
      <c r="D26" s="8">
        <f>C26*3.37</f>
        <v>33.700000000000003</v>
      </c>
      <c r="F26" s="56"/>
      <c r="G26" s="56"/>
      <c r="H26" s="56"/>
      <c r="I26" s="57"/>
      <c r="K26" s="57"/>
      <c r="L26" s="57"/>
      <c r="M26" s="57"/>
      <c r="N26" s="57"/>
      <c r="P26" s="110"/>
      <c r="Q26" s="57"/>
      <c r="R26" s="57"/>
      <c r="S26" s="57"/>
    </row>
    <row r="27" spans="1:19">
      <c r="A27" s="5"/>
      <c r="B27" s="9"/>
      <c r="C27" s="10"/>
      <c r="D27" s="11"/>
      <c r="F27" s="56"/>
      <c r="G27" s="56"/>
      <c r="H27" s="56"/>
      <c r="I27" s="57"/>
      <c r="K27" s="57"/>
      <c r="L27" s="57"/>
      <c r="M27" s="57"/>
      <c r="N27" s="57"/>
      <c r="P27" s="110"/>
      <c r="Q27" s="57"/>
      <c r="R27" s="57"/>
      <c r="S27" s="57"/>
    </row>
    <row r="28" spans="1:19">
      <c r="A28" s="5"/>
      <c r="B28" s="9"/>
      <c r="C28" s="10"/>
      <c r="D28" s="11"/>
      <c r="F28" s="56"/>
      <c r="G28" s="56"/>
      <c r="H28" s="56"/>
      <c r="I28" s="57"/>
      <c r="K28" s="57"/>
      <c r="L28" s="57"/>
      <c r="M28" s="57"/>
      <c r="N28" s="57"/>
      <c r="P28" s="110"/>
      <c r="Q28" s="57"/>
      <c r="R28" s="57"/>
      <c r="S28" s="57"/>
    </row>
    <row r="29" spans="1:19">
      <c r="A29" s="5"/>
      <c r="B29" s="9"/>
      <c r="C29" s="10"/>
      <c r="D29" s="11"/>
      <c r="F29" s="56"/>
      <c r="G29" s="56"/>
      <c r="H29" s="56"/>
      <c r="I29" s="57"/>
      <c r="K29" s="57"/>
      <c r="L29" s="57"/>
      <c r="M29" s="57"/>
      <c r="N29" s="57"/>
      <c r="P29" s="110"/>
      <c r="Q29" s="57"/>
      <c r="R29" s="57"/>
      <c r="S29" s="57"/>
    </row>
    <row r="30" spans="1:19">
      <c r="A30" s="5"/>
      <c r="B30" s="9"/>
      <c r="C30" s="10"/>
      <c r="D30" s="11"/>
      <c r="F30" s="56"/>
      <c r="G30" s="56"/>
      <c r="H30" s="56"/>
      <c r="I30" s="57"/>
      <c r="K30" s="57"/>
      <c r="L30" s="57"/>
      <c r="M30" s="57"/>
      <c r="N30" s="57"/>
      <c r="P30" s="110"/>
      <c r="Q30" s="57"/>
      <c r="R30" s="57"/>
      <c r="S30" s="57"/>
    </row>
    <row r="31" spans="1:19">
      <c r="A31" s="5"/>
      <c r="B31" s="9"/>
      <c r="C31" s="10"/>
      <c r="D31" s="11"/>
      <c r="F31" s="56"/>
      <c r="G31" s="56"/>
      <c r="H31" s="56"/>
      <c r="I31" s="57"/>
      <c r="K31" s="57"/>
      <c r="L31" s="57"/>
      <c r="M31" s="57"/>
      <c r="N31" s="57"/>
      <c r="P31" s="110"/>
      <c r="Q31" s="57"/>
      <c r="R31" s="57"/>
      <c r="S31" s="57"/>
    </row>
    <row r="32" spans="1:19">
      <c r="A32" s="5"/>
      <c r="B32" s="9"/>
      <c r="C32" s="10"/>
      <c r="D32" s="11"/>
      <c r="F32" s="56"/>
      <c r="G32" s="56"/>
      <c r="H32" s="56"/>
      <c r="I32" s="57"/>
      <c r="K32" s="57"/>
      <c r="L32" s="57"/>
      <c r="M32" s="57"/>
      <c r="N32" s="57"/>
      <c r="P32" s="110"/>
      <c r="Q32" s="57"/>
      <c r="R32" s="57"/>
      <c r="S32" s="57"/>
    </row>
    <row r="33" spans="1:19">
      <c r="A33" s="5"/>
      <c r="B33" s="9"/>
      <c r="C33" s="10"/>
      <c r="D33" s="11"/>
      <c r="F33" s="56"/>
      <c r="G33" s="56"/>
      <c r="H33" s="56"/>
      <c r="I33" s="57"/>
      <c r="K33" s="57"/>
      <c r="L33" s="57"/>
      <c r="M33" s="57"/>
      <c r="N33" s="57"/>
      <c r="P33" s="110"/>
      <c r="Q33" s="57"/>
      <c r="R33" s="57"/>
      <c r="S33" s="57"/>
    </row>
    <row r="34" spans="1:19">
      <c r="A34" s="5"/>
      <c r="B34" s="9"/>
      <c r="C34" s="10"/>
      <c r="D34" s="11"/>
      <c r="F34" s="56"/>
      <c r="G34" s="56"/>
      <c r="H34" s="56"/>
      <c r="I34" s="57"/>
      <c r="K34" s="57"/>
      <c r="L34" s="57"/>
      <c r="M34" s="57"/>
      <c r="N34" s="57"/>
      <c r="P34" s="110"/>
      <c r="Q34" s="57"/>
      <c r="R34" s="57"/>
      <c r="S34" s="57"/>
    </row>
    <row r="35" spans="1:19">
      <c r="A35" s="5"/>
      <c r="B35" s="9"/>
      <c r="C35" s="10"/>
      <c r="D35" s="11"/>
      <c r="F35" s="56"/>
      <c r="G35" s="56"/>
      <c r="H35" s="56"/>
      <c r="I35" s="57"/>
      <c r="K35" s="57"/>
      <c r="L35" s="57"/>
      <c r="M35" s="57"/>
      <c r="N35" s="57"/>
      <c r="P35" s="110"/>
      <c r="Q35" s="57"/>
      <c r="R35" s="57"/>
      <c r="S35" s="57"/>
    </row>
    <row r="36" spans="1:19">
      <c r="A36" s="5"/>
      <c r="B36" s="9"/>
      <c r="C36" s="10"/>
      <c r="D36" s="11"/>
      <c r="F36" s="56"/>
      <c r="G36" s="56"/>
      <c r="H36" s="56"/>
      <c r="I36" s="57"/>
      <c r="K36" s="57"/>
      <c r="L36" s="57"/>
      <c r="M36" s="57"/>
      <c r="N36" s="57"/>
      <c r="P36" s="110"/>
      <c r="Q36" s="57"/>
      <c r="R36" s="57"/>
      <c r="S36" s="57"/>
    </row>
    <row r="37" spans="1:19">
      <c r="A37" s="5"/>
      <c r="B37" s="9"/>
      <c r="C37" s="10"/>
      <c r="D37" s="11"/>
      <c r="F37" s="56"/>
      <c r="G37" s="56"/>
      <c r="H37" s="56"/>
      <c r="I37" s="57"/>
      <c r="K37" s="57"/>
      <c r="L37" s="57"/>
      <c r="M37" s="57"/>
      <c r="N37" s="57"/>
      <c r="P37" s="110"/>
      <c r="Q37" s="57"/>
      <c r="R37" s="57"/>
      <c r="S37" s="57"/>
    </row>
    <row r="38" spans="1:19">
      <c r="A38" s="5"/>
      <c r="B38" s="9"/>
      <c r="C38" s="10"/>
      <c r="D38" s="11"/>
      <c r="F38" s="56"/>
      <c r="G38" s="56"/>
      <c r="H38" s="56"/>
      <c r="I38" s="57"/>
      <c r="K38" s="57"/>
      <c r="L38" s="57"/>
      <c r="M38" s="57"/>
      <c r="N38" s="57"/>
      <c r="P38" s="110"/>
      <c r="Q38" s="57"/>
      <c r="R38" s="57"/>
      <c r="S38" s="57"/>
    </row>
    <row r="39" spans="1:19" ht="43.2">
      <c r="A39" s="5"/>
      <c r="B39" s="29"/>
      <c r="C39" s="30"/>
      <c r="D39" s="8"/>
      <c r="F39" s="58">
        <v>46071</v>
      </c>
      <c r="G39" s="59" t="s">
        <v>21</v>
      </c>
      <c r="H39" s="60">
        <v>20.99</v>
      </c>
      <c r="I39" s="52">
        <f>H39*3.37</f>
        <v>70.7363</v>
      </c>
      <c r="K39" s="58"/>
      <c r="L39" s="59"/>
      <c r="M39" s="60"/>
      <c r="N39" s="61"/>
      <c r="P39" s="110">
        <v>46071</v>
      </c>
      <c r="Q39" s="61" t="s">
        <v>36</v>
      </c>
      <c r="R39" s="52">
        <v>1820</v>
      </c>
      <c r="S39" s="52">
        <f>R39</f>
        <v>1820</v>
      </c>
    </row>
    <row r="40" spans="1:19" ht="28.8">
      <c r="A40" s="5"/>
      <c r="B40" s="29"/>
      <c r="C40" s="30"/>
      <c r="D40" s="31"/>
      <c r="F40" s="58"/>
      <c r="G40" s="59"/>
      <c r="H40" s="60"/>
      <c r="I40" s="61"/>
      <c r="K40" s="58"/>
      <c r="L40" s="59"/>
      <c r="M40" s="60"/>
      <c r="N40" s="61"/>
      <c r="P40" s="110" t="s">
        <v>52</v>
      </c>
      <c r="Q40" s="59" t="s">
        <v>37</v>
      </c>
      <c r="R40" s="52">
        <v>490.55</v>
      </c>
      <c r="S40" s="52">
        <f>R40</f>
        <v>490.55</v>
      </c>
    </row>
    <row r="41" spans="1:19">
      <c r="A41" s="17"/>
      <c r="B41" s="32"/>
      <c r="C41" s="33"/>
      <c r="D41" s="34">
        <f>SUM(D26:D40)</f>
        <v>33.700000000000003</v>
      </c>
      <c r="F41" s="58"/>
      <c r="G41" s="59"/>
      <c r="H41" s="60"/>
      <c r="I41" s="52">
        <f>SUM(I39:I40)</f>
        <v>70.7363</v>
      </c>
      <c r="K41" s="58"/>
      <c r="L41" s="59"/>
      <c r="M41" s="60"/>
      <c r="N41" s="61">
        <f>SUM(N39:N40)</f>
        <v>0</v>
      </c>
      <c r="P41" s="111"/>
      <c r="Q41" s="74"/>
      <c r="R41" s="75"/>
      <c r="S41" s="76">
        <f>SUM(S39:S40)</f>
        <v>2310.5500000000002</v>
      </c>
    </row>
    <row r="42" spans="1:19">
      <c r="A42" s="89" t="s">
        <v>8</v>
      </c>
      <c r="B42" s="89"/>
      <c r="C42" s="89"/>
      <c r="D42" s="89"/>
      <c r="F42" s="98" t="s">
        <v>8</v>
      </c>
      <c r="G42" s="91"/>
      <c r="H42" s="92"/>
      <c r="I42" s="53"/>
      <c r="K42" s="102" t="s">
        <v>8</v>
      </c>
      <c r="L42" s="103"/>
      <c r="M42" s="104"/>
      <c r="N42" s="53"/>
      <c r="P42" s="98" t="s">
        <v>8</v>
      </c>
      <c r="Q42" s="91"/>
      <c r="R42" s="92"/>
      <c r="S42" s="61"/>
    </row>
    <row r="43" spans="1:19">
      <c r="A43" s="25" t="s">
        <v>2</v>
      </c>
      <c r="B43" s="26" t="s">
        <v>3</v>
      </c>
      <c r="C43" s="27" t="s">
        <v>4</v>
      </c>
      <c r="D43" s="28" t="s">
        <v>5</v>
      </c>
      <c r="F43" s="56" t="s">
        <v>2</v>
      </c>
      <c r="G43" s="56" t="s">
        <v>3</v>
      </c>
      <c r="H43" s="56" t="s">
        <v>4</v>
      </c>
      <c r="I43" s="57" t="s">
        <v>5</v>
      </c>
      <c r="K43" s="56" t="s">
        <v>2</v>
      </c>
      <c r="L43" s="56" t="s">
        <v>3</v>
      </c>
      <c r="M43" s="56" t="s">
        <v>4</v>
      </c>
      <c r="N43" s="57" t="s">
        <v>5</v>
      </c>
      <c r="P43" s="110" t="s">
        <v>2</v>
      </c>
      <c r="Q43" s="57" t="s">
        <v>3</v>
      </c>
      <c r="R43" s="57" t="s">
        <v>4</v>
      </c>
      <c r="S43" s="57" t="s">
        <v>5</v>
      </c>
    </row>
    <row r="44" spans="1:19">
      <c r="A44" s="5">
        <v>46088</v>
      </c>
      <c r="B44" s="6" t="s">
        <v>6</v>
      </c>
      <c r="C44" s="7">
        <v>10</v>
      </c>
      <c r="D44" s="8">
        <f>C44*3.38</f>
        <v>33.799999999999997</v>
      </c>
      <c r="F44" s="56"/>
      <c r="G44" s="56"/>
      <c r="H44" s="56"/>
      <c r="I44" s="57"/>
      <c r="K44" s="57"/>
      <c r="L44" s="57"/>
      <c r="M44" s="57"/>
      <c r="N44" s="57"/>
      <c r="P44" s="110"/>
      <c r="Q44" s="57"/>
      <c r="R44" s="57"/>
      <c r="S44" s="57"/>
    </row>
    <row r="45" spans="1:19">
      <c r="A45" s="5"/>
      <c r="B45" s="9"/>
      <c r="C45" s="10"/>
      <c r="D45" s="11"/>
      <c r="F45" s="56"/>
      <c r="G45" s="56"/>
      <c r="H45" s="56"/>
      <c r="I45" s="57"/>
      <c r="K45" s="57"/>
      <c r="L45" s="57"/>
      <c r="M45" s="57"/>
      <c r="N45" s="57"/>
      <c r="P45" s="110"/>
      <c r="Q45" s="57"/>
      <c r="R45" s="57"/>
      <c r="S45" s="57"/>
    </row>
    <row r="46" spans="1:19">
      <c r="A46" s="5"/>
      <c r="B46" s="9"/>
      <c r="C46" s="10"/>
      <c r="D46" s="11"/>
      <c r="F46" s="56"/>
      <c r="G46" s="56"/>
      <c r="H46" s="56"/>
      <c r="I46" s="57"/>
      <c r="K46" s="57"/>
      <c r="L46" s="57"/>
      <c r="M46" s="57"/>
      <c r="N46" s="57"/>
      <c r="P46" s="110"/>
      <c r="Q46" s="57"/>
      <c r="R46" s="57"/>
      <c r="S46" s="57"/>
    </row>
    <row r="47" spans="1:19">
      <c r="A47" s="5"/>
      <c r="B47" s="9"/>
      <c r="C47" s="10"/>
      <c r="D47" s="11"/>
      <c r="F47" s="56"/>
      <c r="G47" s="56"/>
      <c r="H47" s="56"/>
      <c r="I47" s="57"/>
      <c r="K47" s="57"/>
      <c r="L47" s="57"/>
      <c r="M47" s="57"/>
      <c r="N47" s="57"/>
      <c r="P47" s="110"/>
      <c r="Q47" s="57"/>
      <c r="R47" s="57"/>
      <c r="S47" s="57"/>
    </row>
    <row r="48" spans="1:19">
      <c r="A48" s="5"/>
      <c r="B48" s="9"/>
      <c r="C48" s="10"/>
      <c r="D48" s="11"/>
      <c r="F48" s="56"/>
      <c r="G48" s="56"/>
      <c r="H48" s="56"/>
      <c r="I48" s="57"/>
      <c r="K48" s="57"/>
      <c r="L48" s="57"/>
      <c r="M48" s="57"/>
      <c r="N48" s="57"/>
      <c r="P48" s="110"/>
      <c r="Q48" s="57"/>
      <c r="R48" s="57"/>
      <c r="S48" s="57"/>
    </row>
    <row r="49" spans="1:19">
      <c r="A49" s="5"/>
      <c r="B49" s="9"/>
      <c r="C49" s="10"/>
      <c r="D49" s="11"/>
      <c r="F49" s="56"/>
      <c r="G49" s="56"/>
      <c r="H49" s="56"/>
      <c r="I49" s="57"/>
      <c r="K49" s="57"/>
      <c r="L49" s="57"/>
      <c r="M49" s="57"/>
      <c r="N49" s="57"/>
      <c r="P49" s="110"/>
      <c r="Q49" s="57"/>
      <c r="R49" s="57"/>
      <c r="S49" s="57"/>
    </row>
    <row r="50" spans="1:19">
      <c r="A50" s="5"/>
      <c r="B50" s="9"/>
      <c r="C50" s="10"/>
      <c r="D50" s="11"/>
      <c r="F50" s="56"/>
      <c r="G50" s="56"/>
      <c r="H50" s="56"/>
      <c r="I50" s="57"/>
      <c r="K50" s="57"/>
      <c r="L50" s="57"/>
      <c r="M50" s="57"/>
      <c r="N50" s="57"/>
      <c r="P50" s="110"/>
      <c r="Q50" s="57"/>
      <c r="R50" s="57"/>
      <c r="S50" s="57"/>
    </row>
    <row r="51" spans="1:19">
      <c r="A51" s="5"/>
      <c r="B51" s="9"/>
      <c r="C51" s="10"/>
      <c r="D51" s="11"/>
      <c r="F51" s="56"/>
      <c r="G51" s="56"/>
      <c r="H51" s="56"/>
      <c r="I51" s="57"/>
      <c r="K51" s="57"/>
      <c r="L51" s="57"/>
      <c r="M51" s="57"/>
      <c r="N51" s="57"/>
      <c r="P51" s="110"/>
      <c r="Q51" s="57"/>
      <c r="R51" s="57"/>
      <c r="S51" s="57"/>
    </row>
    <row r="52" spans="1:19">
      <c r="A52" s="5"/>
      <c r="B52" s="9"/>
      <c r="C52" s="10"/>
      <c r="D52" s="11"/>
      <c r="F52" s="56"/>
      <c r="G52" s="56"/>
      <c r="H52" s="56"/>
      <c r="I52" s="57"/>
      <c r="K52" s="57"/>
      <c r="L52" s="57"/>
      <c r="M52" s="57"/>
      <c r="N52" s="57"/>
      <c r="P52" s="110"/>
      <c r="Q52" s="57"/>
      <c r="R52" s="57"/>
      <c r="S52" s="57"/>
    </row>
    <row r="53" spans="1:19">
      <c r="A53" s="5"/>
      <c r="B53" s="9"/>
      <c r="C53" s="10"/>
      <c r="D53" s="11"/>
      <c r="F53" s="56"/>
      <c r="G53" s="56"/>
      <c r="H53" s="56"/>
      <c r="I53" s="57"/>
      <c r="K53" s="57"/>
      <c r="L53" s="57"/>
      <c r="M53" s="57"/>
      <c r="N53" s="57"/>
      <c r="P53" s="110"/>
      <c r="Q53" s="57"/>
      <c r="R53" s="57"/>
      <c r="S53" s="57"/>
    </row>
    <row r="54" spans="1:19">
      <c r="A54" s="5"/>
      <c r="B54" s="9"/>
      <c r="C54" s="10"/>
      <c r="D54" s="11"/>
      <c r="F54" s="56"/>
      <c r="G54" s="56"/>
      <c r="H54" s="56"/>
      <c r="I54" s="57"/>
      <c r="K54" s="57"/>
      <c r="L54" s="57"/>
      <c r="M54" s="57"/>
      <c r="N54" s="57"/>
      <c r="P54" s="110"/>
      <c r="Q54" s="57"/>
      <c r="R54" s="57"/>
      <c r="S54" s="57"/>
    </row>
    <row r="55" spans="1:19">
      <c r="A55" s="5"/>
      <c r="B55" s="9"/>
      <c r="C55" s="10"/>
      <c r="D55" s="11"/>
      <c r="F55" s="56"/>
      <c r="G55" s="56"/>
      <c r="H55" s="56"/>
      <c r="I55" s="57"/>
      <c r="K55" s="57"/>
      <c r="L55" s="57"/>
      <c r="M55" s="57"/>
      <c r="N55" s="57"/>
      <c r="P55" s="110"/>
      <c r="Q55" s="57"/>
      <c r="R55" s="57"/>
      <c r="S55" s="57"/>
    </row>
    <row r="56" spans="1:19">
      <c r="A56" s="5"/>
      <c r="B56" s="9"/>
      <c r="C56" s="35"/>
      <c r="D56" s="8"/>
      <c r="F56" s="58">
        <v>46096</v>
      </c>
      <c r="G56" s="61" t="s">
        <v>22</v>
      </c>
      <c r="H56" s="62">
        <v>12.2</v>
      </c>
      <c r="I56" s="52">
        <f>H56*4</f>
        <v>48.8</v>
      </c>
      <c r="K56" s="58"/>
      <c r="L56" s="61"/>
      <c r="M56" s="62"/>
      <c r="N56" s="61"/>
      <c r="P56" s="110">
        <v>46096</v>
      </c>
      <c r="Q56" s="61" t="s">
        <v>36</v>
      </c>
      <c r="R56" s="52">
        <v>1820</v>
      </c>
      <c r="S56" s="52">
        <f>R56</f>
        <v>1820</v>
      </c>
    </row>
    <row r="57" spans="1:19">
      <c r="A57" s="5"/>
      <c r="B57" s="9"/>
      <c r="C57" s="35"/>
      <c r="D57" s="8"/>
      <c r="F57" s="58"/>
      <c r="G57" s="61"/>
      <c r="H57" s="62"/>
      <c r="I57" s="52"/>
      <c r="K57" s="58"/>
      <c r="L57" s="61"/>
      <c r="M57" s="62"/>
      <c r="N57" s="61"/>
      <c r="P57" s="110">
        <v>46096</v>
      </c>
      <c r="Q57" s="61" t="s">
        <v>38</v>
      </c>
      <c r="R57" s="52">
        <v>175</v>
      </c>
      <c r="S57" s="52">
        <f>R57</f>
        <v>175</v>
      </c>
    </row>
    <row r="58" spans="1:19" ht="28.8">
      <c r="A58" s="5"/>
      <c r="B58" s="29"/>
      <c r="C58" s="30"/>
      <c r="D58" s="8"/>
      <c r="F58" s="58">
        <v>46100</v>
      </c>
      <c r="G58" s="59" t="s">
        <v>23</v>
      </c>
      <c r="H58" s="60">
        <v>20.99</v>
      </c>
      <c r="I58" s="52">
        <f>H58*3.45</f>
        <v>72.415499999999994</v>
      </c>
      <c r="K58" s="58"/>
      <c r="L58" s="59"/>
      <c r="M58" s="60"/>
      <c r="N58" s="61"/>
      <c r="P58" s="110">
        <v>46100</v>
      </c>
      <c r="Q58" s="59" t="s">
        <v>37</v>
      </c>
      <c r="R58" s="52">
        <v>490</v>
      </c>
      <c r="S58" s="52">
        <f>R58</f>
        <v>490</v>
      </c>
    </row>
    <row r="59" spans="1:19">
      <c r="A59" s="17"/>
      <c r="B59" s="32"/>
      <c r="C59" s="33"/>
      <c r="D59" s="34">
        <f>SUM(D44:D58)</f>
        <v>33.799999999999997</v>
      </c>
      <c r="F59" s="58"/>
      <c r="G59" s="59"/>
      <c r="H59" s="60"/>
      <c r="I59" s="52">
        <f>SUM(I56:I58)</f>
        <v>121.21549999999999</v>
      </c>
      <c r="K59" s="58"/>
      <c r="L59" s="59"/>
      <c r="M59" s="60"/>
      <c r="N59" s="66">
        <f>SUM(N56:N58)</f>
        <v>0</v>
      </c>
      <c r="P59" s="111"/>
      <c r="Q59" s="74"/>
      <c r="R59" s="75"/>
      <c r="S59" s="76">
        <f>SUM(S56:S58)</f>
        <v>2485</v>
      </c>
    </row>
    <row r="60" spans="1:19">
      <c r="A60" s="17"/>
      <c r="B60" s="18"/>
      <c r="C60" s="36"/>
      <c r="D60" s="24"/>
      <c r="F60" s="57"/>
      <c r="G60" s="57"/>
      <c r="H60" s="57"/>
      <c r="I60" s="53"/>
      <c r="K60" s="57"/>
      <c r="L60" s="57"/>
      <c r="M60" s="57"/>
      <c r="N60" s="53"/>
      <c r="P60" s="111"/>
      <c r="Q60" s="65"/>
      <c r="R60" s="65"/>
      <c r="S60" s="50"/>
    </row>
    <row r="61" spans="1:19">
      <c r="A61" s="89" t="s">
        <v>9</v>
      </c>
      <c r="B61" s="89"/>
      <c r="C61" s="89"/>
      <c r="D61" s="89"/>
      <c r="F61" s="98" t="s">
        <v>9</v>
      </c>
      <c r="G61" s="91"/>
      <c r="H61" s="92"/>
      <c r="I61" s="53"/>
      <c r="K61" s="98" t="s">
        <v>9</v>
      </c>
      <c r="L61" s="91"/>
      <c r="M61" s="92"/>
      <c r="N61" s="53"/>
      <c r="P61" s="98" t="s">
        <v>9</v>
      </c>
      <c r="Q61" s="91"/>
      <c r="R61" s="92"/>
      <c r="S61" s="61"/>
    </row>
    <row r="62" spans="1:19">
      <c r="A62" s="25" t="s">
        <v>2</v>
      </c>
      <c r="B62" s="26" t="s">
        <v>3</v>
      </c>
      <c r="C62" s="27" t="s">
        <v>4</v>
      </c>
      <c r="D62" s="28" t="s">
        <v>5</v>
      </c>
      <c r="F62" s="56" t="s">
        <v>2</v>
      </c>
      <c r="G62" s="56" t="s">
        <v>3</v>
      </c>
      <c r="H62" s="56" t="s">
        <v>4</v>
      </c>
      <c r="I62" s="57" t="s">
        <v>5</v>
      </c>
      <c r="K62" s="56" t="s">
        <v>2</v>
      </c>
      <c r="L62" s="56" t="s">
        <v>3</v>
      </c>
      <c r="M62" s="56" t="s">
        <v>4</v>
      </c>
      <c r="N62" s="57" t="s">
        <v>5</v>
      </c>
      <c r="P62" s="110" t="s">
        <v>2</v>
      </c>
      <c r="Q62" s="57" t="s">
        <v>3</v>
      </c>
      <c r="R62" s="57" t="s">
        <v>4</v>
      </c>
      <c r="S62" s="57" t="s">
        <v>5</v>
      </c>
    </row>
    <row r="63" spans="1:19">
      <c r="A63" s="5">
        <v>46122</v>
      </c>
      <c r="B63" s="6" t="s">
        <v>10</v>
      </c>
      <c r="C63" s="37">
        <v>18.850000000000001</v>
      </c>
      <c r="D63" s="8">
        <f>C63*3.74</f>
        <v>70.499000000000009</v>
      </c>
      <c r="F63" s="56"/>
      <c r="G63" s="56"/>
      <c r="H63" s="56"/>
      <c r="I63" s="57"/>
      <c r="K63" s="57"/>
      <c r="L63" s="57"/>
      <c r="M63" s="57"/>
      <c r="N63" s="57"/>
      <c r="P63" s="110"/>
      <c r="Q63" s="57"/>
      <c r="R63" s="57"/>
      <c r="S63" s="57"/>
    </row>
    <row r="64" spans="1:19">
      <c r="A64" s="5">
        <v>46128</v>
      </c>
      <c r="B64" s="6" t="s">
        <v>11</v>
      </c>
      <c r="C64" s="37">
        <v>21.96</v>
      </c>
      <c r="D64" s="8">
        <f>C64*3.74</f>
        <v>82.130400000000009</v>
      </c>
      <c r="F64" s="56"/>
      <c r="G64" s="56"/>
      <c r="H64" s="56"/>
      <c r="I64" s="57"/>
      <c r="K64" s="57"/>
      <c r="L64" s="57"/>
      <c r="M64" s="57"/>
      <c r="N64" s="57"/>
      <c r="P64" s="110"/>
      <c r="Q64" s="57"/>
      <c r="R64" s="57"/>
      <c r="S64" s="57"/>
    </row>
    <row r="65" spans="1:19">
      <c r="A65" s="5">
        <v>46119</v>
      </c>
      <c r="B65" s="6" t="s">
        <v>6</v>
      </c>
      <c r="C65" s="7">
        <v>10</v>
      </c>
      <c r="D65" s="8">
        <f>C65*3.37</f>
        <v>33.700000000000003</v>
      </c>
      <c r="F65" s="56"/>
      <c r="G65" s="56"/>
      <c r="H65" s="56"/>
      <c r="I65" s="57"/>
      <c r="K65" s="57"/>
      <c r="L65" s="57"/>
      <c r="M65" s="57"/>
      <c r="N65" s="57"/>
      <c r="P65" s="110"/>
      <c r="Q65" s="57"/>
      <c r="R65" s="57"/>
      <c r="S65" s="57"/>
    </row>
    <row r="66" spans="1:19">
      <c r="A66" s="5"/>
      <c r="B66" s="9"/>
      <c r="C66" s="10"/>
      <c r="D66" s="11"/>
      <c r="F66" s="56"/>
      <c r="G66" s="56"/>
      <c r="H66" s="56"/>
      <c r="I66" s="57"/>
      <c r="K66" s="57"/>
      <c r="L66" s="57"/>
      <c r="M66" s="57"/>
      <c r="N66" s="57"/>
      <c r="P66" s="110"/>
      <c r="Q66" s="57"/>
      <c r="R66" s="57"/>
      <c r="S66" s="57"/>
    </row>
    <row r="67" spans="1:19">
      <c r="A67" s="5"/>
      <c r="B67" s="9"/>
      <c r="C67" s="10"/>
      <c r="D67" s="11"/>
      <c r="F67" s="56"/>
      <c r="G67" s="56"/>
      <c r="H67" s="56"/>
      <c r="I67" s="57"/>
      <c r="K67" s="57"/>
      <c r="L67" s="57"/>
      <c r="M67" s="57"/>
      <c r="N67" s="57"/>
      <c r="P67" s="110"/>
      <c r="Q67" s="57"/>
      <c r="R67" s="57"/>
      <c r="S67" s="57"/>
    </row>
    <row r="68" spans="1:19">
      <c r="A68" s="5"/>
      <c r="B68" s="9"/>
      <c r="C68" s="10"/>
      <c r="D68" s="11"/>
      <c r="F68" s="56"/>
      <c r="G68" s="56"/>
      <c r="H68" s="56"/>
      <c r="I68" s="57"/>
      <c r="K68" s="57"/>
      <c r="L68" s="57"/>
      <c r="M68" s="57"/>
      <c r="N68" s="57"/>
      <c r="P68" s="110"/>
      <c r="Q68" s="57"/>
      <c r="R68" s="57"/>
      <c r="S68" s="57"/>
    </row>
    <row r="69" spans="1:19">
      <c r="A69" s="5"/>
      <c r="B69" s="9"/>
      <c r="C69" s="10"/>
      <c r="D69" s="11"/>
      <c r="F69" s="56"/>
      <c r="G69" s="56"/>
      <c r="H69" s="56"/>
      <c r="I69" s="57"/>
      <c r="K69" s="57"/>
      <c r="L69" s="57"/>
      <c r="M69" s="57"/>
      <c r="N69" s="57"/>
      <c r="P69" s="110"/>
      <c r="Q69" s="57"/>
      <c r="R69" s="57"/>
      <c r="S69" s="57"/>
    </row>
    <row r="70" spans="1:19">
      <c r="A70" s="5"/>
      <c r="B70" s="9"/>
      <c r="C70" s="10"/>
      <c r="D70" s="11"/>
      <c r="F70" s="56"/>
      <c r="G70" s="56"/>
      <c r="H70" s="56"/>
      <c r="I70" s="57"/>
      <c r="K70" s="57"/>
      <c r="L70" s="57"/>
      <c r="M70" s="57"/>
      <c r="N70" s="57"/>
      <c r="P70" s="110"/>
      <c r="Q70" s="57"/>
      <c r="R70" s="57"/>
      <c r="S70" s="57"/>
    </row>
    <row r="71" spans="1:19">
      <c r="A71" s="5"/>
      <c r="B71" s="9"/>
      <c r="C71" s="10"/>
      <c r="D71" s="11"/>
      <c r="F71" s="56"/>
      <c r="G71" s="56"/>
      <c r="H71" s="56"/>
      <c r="I71" s="57"/>
      <c r="K71" s="57"/>
      <c r="L71" s="57"/>
      <c r="M71" s="57"/>
      <c r="N71" s="57"/>
      <c r="P71" s="110"/>
      <c r="Q71" s="57"/>
      <c r="R71" s="57"/>
      <c r="S71" s="57"/>
    </row>
    <row r="72" spans="1:19">
      <c r="A72" s="5"/>
      <c r="B72" s="9"/>
      <c r="C72" s="10"/>
      <c r="D72" s="11"/>
      <c r="F72" s="56"/>
      <c r="G72" s="56"/>
      <c r="H72" s="56"/>
      <c r="I72" s="57"/>
      <c r="K72" s="57"/>
      <c r="L72" s="57"/>
      <c r="M72" s="57"/>
      <c r="N72" s="57"/>
      <c r="P72" s="110"/>
      <c r="Q72" s="57"/>
      <c r="R72" s="57"/>
      <c r="S72" s="57"/>
    </row>
    <row r="73" spans="1:19">
      <c r="A73" s="5"/>
      <c r="B73" s="9"/>
      <c r="C73" s="10"/>
      <c r="D73" s="11"/>
      <c r="F73" s="56"/>
      <c r="G73" s="56"/>
      <c r="H73" s="56"/>
      <c r="I73" s="57"/>
      <c r="K73" s="57"/>
      <c r="L73" s="57"/>
      <c r="M73" s="57"/>
      <c r="N73" s="57"/>
      <c r="P73" s="110"/>
      <c r="Q73" s="57"/>
      <c r="R73" s="57"/>
      <c r="S73" s="57"/>
    </row>
    <row r="74" spans="1:19">
      <c r="A74" s="5"/>
      <c r="B74" s="9"/>
      <c r="C74" s="10"/>
      <c r="D74" s="11"/>
      <c r="F74" s="56"/>
      <c r="G74" s="56"/>
      <c r="H74" s="56"/>
      <c r="I74" s="57"/>
      <c r="K74" s="57"/>
      <c r="L74" s="57"/>
      <c r="M74" s="57"/>
      <c r="N74" s="57"/>
      <c r="P74" s="110"/>
      <c r="Q74" s="57"/>
      <c r="R74" s="57"/>
      <c r="S74" s="57"/>
    </row>
    <row r="75" spans="1:19">
      <c r="A75" s="5"/>
      <c r="B75" s="9"/>
      <c r="C75" s="10"/>
      <c r="D75" s="11"/>
      <c r="F75" s="56"/>
      <c r="G75" s="56"/>
      <c r="H75" s="56"/>
      <c r="I75" s="57"/>
      <c r="K75" s="57"/>
      <c r="L75" s="57"/>
      <c r="M75" s="57"/>
      <c r="N75" s="57"/>
      <c r="P75" s="110"/>
      <c r="Q75" s="57"/>
      <c r="R75" s="57"/>
      <c r="S75" s="57"/>
    </row>
    <row r="76" spans="1:19">
      <c r="A76" s="5"/>
      <c r="B76" s="9"/>
      <c r="C76" s="10"/>
      <c r="D76" s="11"/>
      <c r="F76" s="56"/>
      <c r="G76" s="56"/>
      <c r="H76" s="56"/>
      <c r="I76" s="57"/>
      <c r="K76" s="57"/>
      <c r="L76" s="57"/>
      <c r="M76" s="57"/>
      <c r="N76" s="57"/>
      <c r="P76" s="110"/>
      <c r="Q76" s="57"/>
      <c r="R76" s="57"/>
      <c r="S76" s="57"/>
    </row>
    <row r="77" spans="1:19">
      <c r="A77" s="5"/>
      <c r="B77" s="9"/>
      <c r="C77" s="10"/>
      <c r="D77" s="11"/>
      <c r="F77" s="56"/>
      <c r="G77" s="56"/>
      <c r="H77" s="56"/>
      <c r="I77" s="57"/>
      <c r="K77" s="57"/>
      <c r="L77" s="57"/>
      <c r="M77" s="57"/>
      <c r="N77" s="57"/>
      <c r="P77" s="110"/>
      <c r="Q77" s="57"/>
      <c r="R77" s="57"/>
      <c r="S77" s="57"/>
    </row>
    <row r="78" spans="1:19">
      <c r="A78" s="5"/>
      <c r="B78" s="9"/>
      <c r="C78" s="10"/>
      <c r="D78" s="11"/>
      <c r="F78" s="56"/>
      <c r="G78" s="56"/>
      <c r="H78" s="56"/>
      <c r="I78" s="57"/>
      <c r="K78" s="57"/>
      <c r="L78" s="57"/>
      <c r="M78" s="57"/>
      <c r="N78" s="57"/>
      <c r="P78" s="110"/>
      <c r="Q78" s="57"/>
      <c r="R78" s="57"/>
      <c r="S78" s="57"/>
    </row>
    <row r="79" spans="1:19">
      <c r="A79" s="5"/>
      <c r="B79" s="9"/>
      <c r="C79" s="10"/>
      <c r="D79" s="11"/>
      <c r="F79" s="56"/>
      <c r="G79" s="56"/>
      <c r="H79" s="56"/>
      <c r="I79" s="57"/>
      <c r="K79" s="57"/>
      <c r="L79" s="57"/>
      <c r="M79" s="57"/>
      <c r="N79" s="57"/>
      <c r="P79" s="110"/>
      <c r="Q79" s="57"/>
      <c r="R79" s="57"/>
      <c r="S79" s="57"/>
    </row>
    <row r="80" spans="1:19">
      <c r="A80" s="5"/>
      <c r="B80" s="9"/>
      <c r="C80" s="10"/>
      <c r="D80" s="11"/>
      <c r="F80" s="56"/>
      <c r="G80" s="56"/>
      <c r="H80" s="56"/>
      <c r="I80" s="57"/>
      <c r="K80" s="57"/>
      <c r="L80" s="57"/>
      <c r="M80" s="57"/>
      <c r="N80" s="57"/>
      <c r="P80" s="110"/>
      <c r="Q80" s="57"/>
      <c r="R80" s="57"/>
      <c r="S80" s="57"/>
    </row>
    <row r="81" spans="1:19">
      <c r="A81" s="5"/>
      <c r="B81" s="9"/>
      <c r="C81" s="30"/>
      <c r="D81" s="31"/>
      <c r="F81" s="58"/>
      <c r="G81" s="61"/>
      <c r="H81" s="60"/>
      <c r="I81" s="61"/>
      <c r="K81" s="58">
        <v>46114</v>
      </c>
      <c r="L81" s="61" t="s">
        <v>33</v>
      </c>
      <c r="M81" s="60">
        <v>285</v>
      </c>
      <c r="N81" s="52">
        <f>M81*3.39</f>
        <v>966.15000000000009</v>
      </c>
      <c r="P81" s="110">
        <v>46114</v>
      </c>
      <c r="Q81" s="61" t="s">
        <v>36</v>
      </c>
      <c r="R81" s="52">
        <v>1820</v>
      </c>
      <c r="S81" s="52">
        <f>R81</f>
        <v>1820</v>
      </c>
    </row>
    <row r="82" spans="1:19">
      <c r="A82" s="5"/>
      <c r="B82" s="9"/>
      <c r="C82" s="30"/>
      <c r="D82" s="8"/>
      <c r="F82" s="58">
        <v>46132</v>
      </c>
      <c r="G82" s="61" t="s">
        <v>24</v>
      </c>
      <c r="H82" s="60">
        <v>20.99</v>
      </c>
      <c r="I82" s="52">
        <f>H82*3.49</f>
        <v>73.255099999999999</v>
      </c>
      <c r="K82" s="58"/>
      <c r="L82" s="61"/>
      <c r="M82" s="60"/>
      <c r="N82" s="61"/>
      <c r="P82" s="110">
        <v>46138</v>
      </c>
      <c r="Q82" s="61" t="s">
        <v>37</v>
      </c>
      <c r="R82" s="52">
        <v>496.94</v>
      </c>
      <c r="S82" s="52">
        <f>R82</f>
        <v>496.94</v>
      </c>
    </row>
    <row r="83" spans="1:19">
      <c r="A83" s="5"/>
      <c r="B83" s="9"/>
      <c r="C83" s="30"/>
      <c r="D83" s="8"/>
      <c r="F83" s="58">
        <v>46138</v>
      </c>
      <c r="G83" s="61" t="s">
        <v>25</v>
      </c>
      <c r="H83" s="60">
        <v>20.99</v>
      </c>
      <c r="I83" s="52">
        <f>H83*3.49</f>
        <v>73.255099999999999</v>
      </c>
      <c r="K83" s="58"/>
      <c r="L83" s="61"/>
      <c r="M83" s="60"/>
      <c r="N83" s="61"/>
      <c r="P83" s="110">
        <v>46138</v>
      </c>
      <c r="Q83" s="61" t="s">
        <v>38</v>
      </c>
      <c r="R83" s="52">
        <v>175</v>
      </c>
      <c r="S83" s="52">
        <f>R83</f>
        <v>175</v>
      </c>
    </row>
    <row r="84" spans="1:19">
      <c r="A84" s="17"/>
      <c r="B84" s="18"/>
      <c r="C84" s="33"/>
      <c r="D84" s="34">
        <f>SUM(D63:D83)</f>
        <v>186.32940000000002</v>
      </c>
      <c r="F84" s="58"/>
      <c r="G84" s="61"/>
      <c r="H84" s="60"/>
      <c r="I84" s="52">
        <f>SUM(I81:I83)</f>
        <v>146.5102</v>
      </c>
      <c r="K84" s="58"/>
      <c r="L84" s="61"/>
      <c r="M84" s="60"/>
      <c r="N84" s="68">
        <f>SUM(N81:N83)</f>
        <v>966.15000000000009</v>
      </c>
      <c r="P84" s="111"/>
      <c r="Q84" s="50"/>
      <c r="R84" s="75"/>
      <c r="S84" s="77">
        <f>SUM(S81:S83)</f>
        <v>2491.94</v>
      </c>
    </row>
    <row r="85" spans="1:19">
      <c r="A85" s="17"/>
      <c r="B85" s="18"/>
      <c r="C85" s="36"/>
      <c r="D85" s="24"/>
      <c r="F85" s="57"/>
      <c r="G85" s="57"/>
      <c r="H85" s="57"/>
      <c r="I85" s="53"/>
      <c r="K85" s="70"/>
      <c r="L85" s="70"/>
      <c r="M85" s="70"/>
      <c r="N85" s="53"/>
      <c r="P85" s="111"/>
      <c r="Q85" s="65"/>
      <c r="R85" s="65"/>
      <c r="S85" s="53"/>
    </row>
    <row r="86" spans="1:19">
      <c r="A86" s="89" t="s">
        <v>12</v>
      </c>
      <c r="B86" s="89"/>
      <c r="C86" s="89"/>
      <c r="D86" s="89"/>
      <c r="F86" s="98" t="s">
        <v>12</v>
      </c>
      <c r="G86" s="91"/>
      <c r="H86" s="92"/>
      <c r="I86" s="53"/>
      <c r="K86" s="98" t="s">
        <v>12</v>
      </c>
      <c r="L86" s="91"/>
      <c r="M86" s="92"/>
      <c r="N86" s="61"/>
      <c r="P86" s="98" t="s">
        <v>12</v>
      </c>
      <c r="Q86" s="91"/>
      <c r="R86" s="92"/>
      <c r="S86" s="61"/>
    </row>
    <row r="87" spans="1:19">
      <c r="A87" s="25" t="s">
        <v>2</v>
      </c>
      <c r="B87" s="26" t="s">
        <v>3</v>
      </c>
      <c r="C87" s="27" t="s">
        <v>4</v>
      </c>
      <c r="D87" s="28" t="s">
        <v>5</v>
      </c>
      <c r="F87" s="56" t="s">
        <v>2</v>
      </c>
      <c r="G87" s="56" t="s">
        <v>3</v>
      </c>
      <c r="H87" s="56" t="s">
        <v>4</v>
      </c>
      <c r="I87" s="57" t="s">
        <v>5</v>
      </c>
      <c r="K87" s="57" t="s">
        <v>2</v>
      </c>
      <c r="L87" s="57" t="s">
        <v>3</v>
      </c>
      <c r="M87" s="57" t="s">
        <v>4</v>
      </c>
      <c r="N87" s="57" t="s">
        <v>5</v>
      </c>
      <c r="P87" s="110" t="s">
        <v>2</v>
      </c>
      <c r="Q87" s="57" t="s">
        <v>3</v>
      </c>
      <c r="R87" s="57" t="s">
        <v>4</v>
      </c>
      <c r="S87" s="57" t="s">
        <v>5</v>
      </c>
    </row>
    <row r="88" spans="1:19" ht="43.2">
      <c r="A88" s="5">
        <v>46158</v>
      </c>
      <c r="B88" s="6" t="s">
        <v>11</v>
      </c>
      <c r="C88" s="37">
        <v>21.96</v>
      </c>
      <c r="D88" s="8">
        <f>C88*3.76</f>
        <v>82.569599999999994</v>
      </c>
      <c r="F88" s="58">
        <v>46165</v>
      </c>
      <c r="G88" s="59" t="s">
        <v>26</v>
      </c>
      <c r="H88" s="60">
        <v>20.99</v>
      </c>
      <c r="I88" s="52">
        <f>H88*3.42</f>
        <v>71.785799999999995</v>
      </c>
      <c r="K88" s="58"/>
      <c r="L88" s="59"/>
      <c r="M88" s="60"/>
      <c r="N88" s="61"/>
      <c r="P88" s="110">
        <v>46172</v>
      </c>
      <c r="Q88" s="61" t="s">
        <v>39</v>
      </c>
      <c r="R88" s="68">
        <v>400</v>
      </c>
      <c r="S88" s="68">
        <v>400</v>
      </c>
    </row>
    <row r="89" spans="1:19">
      <c r="A89" s="5"/>
      <c r="B89" s="38"/>
      <c r="C89" s="30"/>
      <c r="D89" s="8"/>
      <c r="F89" s="58"/>
      <c r="G89" s="59"/>
      <c r="H89" s="60"/>
      <c r="I89" s="52"/>
      <c r="K89" s="58"/>
      <c r="L89" s="59"/>
      <c r="M89" s="60"/>
      <c r="N89" s="61"/>
      <c r="P89" s="110"/>
      <c r="Q89" s="61"/>
      <c r="R89" s="68"/>
      <c r="S89" s="68"/>
    </row>
    <row r="90" spans="1:19">
      <c r="A90" s="5">
        <v>46149</v>
      </c>
      <c r="B90" s="6" t="s">
        <v>6</v>
      </c>
      <c r="C90" s="7">
        <v>10</v>
      </c>
      <c r="D90" s="8">
        <f>C90*3.36</f>
        <v>33.6</v>
      </c>
      <c r="F90" s="58"/>
      <c r="G90" s="59"/>
      <c r="H90" s="60"/>
      <c r="I90" s="52"/>
      <c r="K90" s="58"/>
      <c r="L90" s="59"/>
      <c r="M90" s="60"/>
      <c r="N90" s="61"/>
      <c r="P90" s="110"/>
      <c r="Q90" s="61"/>
      <c r="R90" s="68"/>
      <c r="S90" s="68"/>
    </row>
    <row r="91" spans="1:19">
      <c r="A91" s="5"/>
      <c r="B91" s="29"/>
      <c r="C91" s="30"/>
      <c r="D91" s="8"/>
      <c r="F91" s="58"/>
      <c r="G91" s="59"/>
      <c r="H91" s="60"/>
      <c r="I91" s="52"/>
      <c r="K91" s="58"/>
      <c r="L91" s="59"/>
      <c r="M91" s="60"/>
      <c r="N91" s="61"/>
      <c r="P91" s="110"/>
      <c r="Q91" s="61"/>
      <c r="R91" s="68"/>
      <c r="S91" s="68"/>
    </row>
    <row r="92" spans="1:19">
      <c r="A92" s="5"/>
      <c r="B92" s="29"/>
      <c r="C92" s="30"/>
      <c r="D92" s="8"/>
      <c r="F92" s="58"/>
      <c r="G92" s="59"/>
      <c r="H92" s="60"/>
      <c r="I92" s="52"/>
      <c r="K92" s="58"/>
      <c r="L92" s="59"/>
      <c r="M92" s="60"/>
      <c r="N92" s="61"/>
      <c r="P92" s="110"/>
      <c r="Q92" s="61"/>
      <c r="R92" s="68"/>
      <c r="S92" s="68"/>
    </row>
    <row r="93" spans="1:19">
      <c r="A93" s="5"/>
      <c r="B93" s="29"/>
      <c r="C93" s="30"/>
      <c r="D93" s="8"/>
      <c r="F93" s="58"/>
      <c r="G93" s="59"/>
      <c r="H93" s="60"/>
      <c r="I93" s="52"/>
      <c r="K93" s="58"/>
      <c r="L93" s="59"/>
      <c r="M93" s="60"/>
      <c r="N93" s="61"/>
      <c r="P93" s="110"/>
      <c r="Q93" s="61"/>
      <c r="R93" s="68"/>
      <c r="S93" s="68"/>
    </row>
    <row r="94" spans="1:19">
      <c r="A94" s="5"/>
      <c r="B94" s="29"/>
      <c r="C94" s="30"/>
      <c r="D94" s="8"/>
      <c r="F94" s="58"/>
      <c r="G94" s="59"/>
      <c r="H94" s="60"/>
      <c r="I94" s="52"/>
      <c r="K94" s="58"/>
      <c r="L94" s="59"/>
      <c r="M94" s="60"/>
      <c r="N94" s="61"/>
      <c r="P94" s="110"/>
      <c r="Q94" s="61"/>
      <c r="R94" s="68"/>
      <c r="S94" s="68"/>
    </row>
    <row r="95" spans="1:19">
      <c r="A95" s="5"/>
      <c r="B95" s="29"/>
      <c r="C95" s="30"/>
      <c r="D95" s="8"/>
      <c r="F95" s="58"/>
      <c r="G95" s="59"/>
      <c r="H95" s="60"/>
      <c r="I95" s="52"/>
      <c r="K95" s="58"/>
      <c r="L95" s="59"/>
      <c r="M95" s="60"/>
      <c r="N95" s="61"/>
      <c r="P95" s="110"/>
      <c r="Q95" s="61"/>
      <c r="R95" s="68"/>
      <c r="S95" s="68"/>
    </row>
    <row r="96" spans="1:19">
      <c r="A96" s="5"/>
      <c r="B96" s="29"/>
      <c r="C96" s="30"/>
      <c r="D96" s="8"/>
      <c r="F96" s="58"/>
      <c r="G96" s="59"/>
      <c r="H96" s="60"/>
      <c r="I96" s="52"/>
      <c r="K96" s="58"/>
      <c r="L96" s="59"/>
      <c r="M96" s="60"/>
      <c r="N96" s="61"/>
      <c r="P96" s="110"/>
      <c r="Q96" s="61"/>
      <c r="R96" s="68"/>
      <c r="S96" s="68"/>
    </row>
    <row r="97" spans="1:19">
      <c r="A97" s="5"/>
      <c r="B97" s="29"/>
      <c r="C97" s="30"/>
      <c r="D97" s="8"/>
      <c r="F97" s="58"/>
      <c r="G97" s="59"/>
      <c r="H97" s="60"/>
      <c r="I97" s="52"/>
      <c r="K97" s="58"/>
      <c r="L97" s="59"/>
      <c r="M97" s="60"/>
      <c r="N97" s="61"/>
      <c r="P97" s="110"/>
      <c r="Q97" s="61"/>
      <c r="R97" s="68"/>
      <c r="S97" s="68"/>
    </row>
    <row r="98" spans="1:19">
      <c r="A98" s="5"/>
      <c r="B98" s="29"/>
      <c r="C98" s="30"/>
      <c r="D98" s="8"/>
      <c r="F98" s="58"/>
      <c r="G98" s="59"/>
      <c r="H98" s="60"/>
      <c r="I98" s="52"/>
      <c r="K98" s="58"/>
      <c r="L98" s="59"/>
      <c r="M98" s="60"/>
      <c r="N98" s="61"/>
      <c r="P98" s="110"/>
      <c r="Q98" s="61"/>
      <c r="R98" s="68"/>
      <c r="S98" s="68"/>
    </row>
    <row r="99" spans="1:19">
      <c r="A99" s="5"/>
      <c r="B99" s="29"/>
      <c r="C99" s="30"/>
      <c r="D99" s="8"/>
      <c r="F99" s="58"/>
      <c r="G99" s="59"/>
      <c r="H99" s="60"/>
      <c r="I99" s="52"/>
      <c r="K99" s="58"/>
      <c r="L99" s="59"/>
      <c r="M99" s="60"/>
      <c r="N99" s="61"/>
      <c r="P99" s="110"/>
      <c r="Q99" s="61"/>
      <c r="R99" s="68"/>
      <c r="S99" s="68"/>
    </row>
    <row r="100" spans="1:19">
      <c r="A100" s="5"/>
      <c r="B100" s="29"/>
      <c r="C100" s="30"/>
      <c r="D100" s="8"/>
      <c r="F100" s="58"/>
      <c r="G100" s="59"/>
      <c r="H100" s="60"/>
      <c r="I100" s="52"/>
      <c r="K100" s="58"/>
      <c r="L100" s="59"/>
      <c r="M100" s="60"/>
      <c r="N100" s="61"/>
      <c r="P100" s="110"/>
      <c r="Q100" s="61"/>
      <c r="R100" s="68"/>
      <c r="S100" s="68"/>
    </row>
    <row r="101" spans="1:19">
      <c r="A101" s="5"/>
      <c r="B101" s="29"/>
      <c r="C101" s="30"/>
      <c r="D101" s="8"/>
      <c r="F101" s="58"/>
      <c r="G101" s="59"/>
      <c r="H101" s="60"/>
      <c r="I101" s="52"/>
      <c r="K101" s="58"/>
      <c r="L101" s="59"/>
      <c r="M101" s="60"/>
      <c r="N101" s="61"/>
      <c r="P101" s="110"/>
      <c r="Q101" s="61"/>
      <c r="R101" s="68"/>
      <c r="S101" s="68"/>
    </row>
    <row r="102" spans="1:19">
      <c r="A102" s="5"/>
      <c r="B102" s="29"/>
      <c r="C102" s="30"/>
      <c r="D102" s="8"/>
      <c r="F102" s="58"/>
      <c r="G102" s="59"/>
      <c r="H102" s="60"/>
      <c r="I102" s="52"/>
      <c r="K102" s="58"/>
      <c r="L102" s="59"/>
      <c r="M102" s="60"/>
      <c r="N102" s="61"/>
      <c r="P102" s="110"/>
      <c r="Q102" s="61"/>
      <c r="R102" s="68"/>
      <c r="S102" s="68"/>
    </row>
    <row r="103" spans="1:19">
      <c r="A103" s="5"/>
      <c r="B103" s="29"/>
      <c r="C103" s="30"/>
      <c r="D103" s="8"/>
      <c r="F103" s="58"/>
      <c r="G103" s="59"/>
      <c r="H103" s="60"/>
      <c r="I103" s="52"/>
      <c r="K103" s="58"/>
      <c r="L103" s="59"/>
      <c r="M103" s="60"/>
      <c r="N103" s="61"/>
      <c r="P103" s="110"/>
      <c r="Q103" s="61"/>
      <c r="R103" s="68"/>
      <c r="S103" s="68"/>
    </row>
    <row r="104" spans="1:19">
      <c r="A104" s="5"/>
      <c r="B104" s="9"/>
      <c r="C104" s="39"/>
      <c r="D104" s="8"/>
      <c r="F104" s="58">
        <v>46166</v>
      </c>
      <c r="G104" s="61" t="s">
        <v>27</v>
      </c>
      <c r="H104" s="63">
        <v>21.99</v>
      </c>
      <c r="I104" s="52">
        <f>H104*3.97</f>
        <v>87.300299999999993</v>
      </c>
      <c r="K104" s="58"/>
      <c r="L104" s="61"/>
      <c r="M104" s="63"/>
      <c r="N104" s="61"/>
      <c r="P104" s="110">
        <v>46172</v>
      </c>
      <c r="Q104" s="61" t="s">
        <v>40</v>
      </c>
      <c r="R104" s="60">
        <v>100</v>
      </c>
      <c r="S104" s="68">
        <f>R104*3.47</f>
        <v>347</v>
      </c>
    </row>
    <row r="105" spans="1:19">
      <c r="A105" s="5"/>
      <c r="B105" s="9"/>
      <c r="C105" s="39"/>
      <c r="D105" s="8"/>
      <c r="F105" s="58"/>
      <c r="G105" s="61"/>
      <c r="H105" s="63"/>
      <c r="I105" s="52"/>
      <c r="K105" s="58"/>
      <c r="L105" s="61"/>
      <c r="M105" s="63"/>
      <c r="N105" s="61"/>
      <c r="P105" s="110">
        <v>46172</v>
      </c>
      <c r="Q105" s="61" t="s">
        <v>41</v>
      </c>
      <c r="R105" s="68">
        <v>662</v>
      </c>
      <c r="S105" s="68">
        <f>R105</f>
        <v>662</v>
      </c>
    </row>
    <row r="106" spans="1:19">
      <c r="A106" s="5"/>
      <c r="B106" s="9"/>
      <c r="C106" s="39"/>
      <c r="D106" s="8"/>
      <c r="F106" s="58"/>
      <c r="G106" s="61"/>
      <c r="H106" s="63"/>
      <c r="I106" s="52"/>
      <c r="K106" s="61"/>
      <c r="L106" s="61"/>
      <c r="M106" s="61"/>
      <c r="N106" s="61"/>
      <c r="P106" s="110">
        <v>46172</v>
      </c>
      <c r="Q106" s="61" t="s">
        <v>42</v>
      </c>
      <c r="R106" s="68">
        <f>[1]Resumen!H9</f>
        <v>1637</v>
      </c>
      <c r="S106" s="68">
        <f>R106</f>
        <v>1637</v>
      </c>
    </row>
    <row r="107" spans="1:19">
      <c r="A107" s="17"/>
      <c r="B107" s="18"/>
      <c r="C107" s="40"/>
      <c r="D107" s="34">
        <f>SUM(D88:D104)</f>
        <v>116.1696</v>
      </c>
      <c r="F107" s="58"/>
      <c r="G107" s="61"/>
      <c r="H107" s="63"/>
      <c r="I107" s="52">
        <f>SUM(I88:I104)</f>
        <v>159.08609999999999</v>
      </c>
      <c r="K107" s="46"/>
      <c r="L107" s="47"/>
      <c r="M107" s="71"/>
      <c r="N107" s="66">
        <f>SUM(N88:N104)</f>
        <v>0</v>
      </c>
      <c r="P107" s="111"/>
      <c r="Q107" s="50"/>
      <c r="R107" s="78"/>
      <c r="S107" s="68">
        <f>SUM(S88:S106)</f>
        <v>3046</v>
      </c>
    </row>
    <row r="108" spans="1:19">
      <c r="A108" s="17"/>
      <c r="B108" s="18"/>
      <c r="C108" s="36"/>
      <c r="D108" s="24"/>
      <c r="F108" s="57"/>
      <c r="G108" s="57"/>
      <c r="H108" s="57"/>
      <c r="I108" s="53"/>
      <c r="K108" s="70"/>
      <c r="L108" s="70"/>
      <c r="M108" s="70"/>
      <c r="N108" s="53"/>
      <c r="P108" s="111"/>
      <c r="Q108" s="65"/>
      <c r="R108" s="65"/>
      <c r="S108" s="50"/>
    </row>
    <row r="109" spans="1:19">
      <c r="A109" s="89" t="s">
        <v>13</v>
      </c>
      <c r="B109" s="89"/>
      <c r="C109" s="89"/>
      <c r="D109" s="89"/>
      <c r="F109" s="98" t="s">
        <v>13</v>
      </c>
      <c r="G109" s="91"/>
      <c r="H109" s="92"/>
      <c r="I109" s="53"/>
      <c r="K109" s="98" t="s">
        <v>13</v>
      </c>
      <c r="L109" s="91"/>
      <c r="M109" s="92"/>
      <c r="N109" s="61"/>
      <c r="P109" s="98" t="s">
        <v>13</v>
      </c>
      <c r="Q109" s="91"/>
      <c r="R109" s="92"/>
      <c r="S109" s="61"/>
    </row>
    <row r="110" spans="1:19">
      <c r="A110" s="25" t="s">
        <v>2</v>
      </c>
      <c r="B110" s="26" t="s">
        <v>3</v>
      </c>
      <c r="C110" s="27" t="s">
        <v>4</v>
      </c>
      <c r="D110" s="28" t="s">
        <v>5</v>
      </c>
      <c r="F110" s="56" t="s">
        <v>2</v>
      </c>
      <c r="G110" s="56" t="s">
        <v>3</v>
      </c>
      <c r="H110" s="56" t="s">
        <v>4</v>
      </c>
      <c r="I110" s="57" t="s">
        <v>5</v>
      </c>
      <c r="K110" s="57" t="s">
        <v>2</v>
      </c>
      <c r="L110" s="57" t="s">
        <v>3</v>
      </c>
      <c r="M110" s="57" t="s">
        <v>4</v>
      </c>
      <c r="N110" s="57" t="s">
        <v>5</v>
      </c>
      <c r="P110" s="110" t="s">
        <v>2</v>
      </c>
      <c r="Q110" s="57" t="s">
        <v>3</v>
      </c>
      <c r="R110" s="57" t="s">
        <v>4</v>
      </c>
      <c r="S110" s="57" t="s">
        <v>5</v>
      </c>
    </row>
    <row r="111" spans="1:19">
      <c r="A111" s="5">
        <v>46177</v>
      </c>
      <c r="B111" s="6" t="s">
        <v>10</v>
      </c>
      <c r="C111" s="37">
        <v>23</v>
      </c>
      <c r="D111" s="8">
        <f>C111*3.8</f>
        <v>87.399999999999991</v>
      </c>
      <c r="F111" s="56"/>
      <c r="G111" s="56"/>
      <c r="H111" s="56"/>
      <c r="I111" s="57"/>
      <c r="K111" s="57"/>
      <c r="L111" s="57"/>
      <c r="M111" s="57"/>
      <c r="N111" s="57"/>
      <c r="P111" s="110">
        <v>46198</v>
      </c>
      <c r="Q111" s="61" t="s">
        <v>43</v>
      </c>
      <c r="R111" s="68">
        <v>400</v>
      </c>
      <c r="S111" s="68">
        <v>400</v>
      </c>
    </row>
    <row r="112" spans="1:19">
      <c r="A112" s="5">
        <v>46189</v>
      </c>
      <c r="B112" s="6" t="s">
        <v>11</v>
      </c>
      <c r="C112" s="37">
        <v>21.96</v>
      </c>
      <c r="D112" s="8">
        <f>C112*3.8</f>
        <v>83.447999999999993</v>
      </c>
      <c r="F112" s="56"/>
      <c r="G112" s="56"/>
      <c r="H112" s="56"/>
      <c r="I112" s="57"/>
      <c r="K112" s="57"/>
      <c r="L112" s="57"/>
      <c r="M112" s="57"/>
      <c r="N112" s="57"/>
      <c r="P112" s="112">
        <v>46198</v>
      </c>
      <c r="Q112" s="79" t="s">
        <v>44</v>
      </c>
      <c r="R112" s="80">
        <v>658</v>
      </c>
      <c r="S112" s="80">
        <f>R112</f>
        <v>658</v>
      </c>
    </row>
    <row r="113" spans="1:19">
      <c r="A113" s="5">
        <v>46180</v>
      </c>
      <c r="B113" s="6" t="s">
        <v>6</v>
      </c>
      <c r="C113" s="7">
        <f>39+1.87</f>
        <v>40.869999999999997</v>
      </c>
      <c r="D113" s="8">
        <f>C113*3.37</f>
        <v>137.7319</v>
      </c>
      <c r="F113" s="56"/>
      <c r="G113" s="56"/>
      <c r="H113" s="56"/>
      <c r="I113" s="57"/>
      <c r="K113" s="57"/>
      <c r="L113" s="57"/>
      <c r="M113" s="57"/>
      <c r="N113" s="57"/>
      <c r="P113" s="112">
        <v>46198</v>
      </c>
      <c r="Q113" s="79" t="s">
        <v>44</v>
      </c>
      <c r="R113" s="80">
        <v>390</v>
      </c>
      <c r="S113" s="80">
        <f>R113</f>
        <v>390</v>
      </c>
    </row>
    <row r="114" spans="1:19">
      <c r="A114" s="5"/>
      <c r="B114" s="9"/>
      <c r="C114" s="10"/>
      <c r="D114" s="8"/>
      <c r="F114" s="57"/>
      <c r="G114" s="57"/>
      <c r="H114" s="57"/>
      <c r="I114" s="57"/>
      <c r="K114" s="57"/>
      <c r="L114" s="57"/>
      <c r="M114" s="57"/>
      <c r="N114" s="57"/>
      <c r="P114" s="86"/>
      <c r="Q114" s="53"/>
      <c r="R114" s="53"/>
      <c r="S114" s="53"/>
    </row>
    <row r="115" spans="1:19">
      <c r="A115" s="17"/>
      <c r="B115" s="18"/>
      <c r="C115" s="36"/>
      <c r="D115" s="8">
        <f>SUM(D111:D114)</f>
        <v>308.57989999999995</v>
      </c>
      <c r="F115" s="56"/>
      <c r="G115" s="56"/>
      <c r="H115" s="56"/>
      <c r="I115" s="64">
        <f>SUM(I111:I114)</f>
        <v>0</v>
      </c>
      <c r="K115" s="57"/>
      <c r="L115" s="57"/>
      <c r="M115" s="57"/>
      <c r="N115" s="72">
        <f>SUM(N111:N114)</f>
        <v>0</v>
      </c>
      <c r="P115" s="113"/>
      <c r="Q115" s="56"/>
      <c r="R115" s="56"/>
      <c r="S115" s="68">
        <f ca="1">SUM(S111:S134)</f>
        <v>1674</v>
      </c>
    </row>
    <row r="116" spans="1:19">
      <c r="A116" s="17"/>
      <c r="B116" s="18"/>
      <c r="C116" s="36"/>
      <c r="D116" s="41"/>
      <c r="F116" s="56"/>
      <c r="G116" s="56"/>
      <c r="H116" s="56"/>
      <c r="I116" s="65"/>
      <c r="K116" s="57"/>
      <c r="L116" s="57"/>
      <c r="M116" s="57"/>
      <c r="N116" s="57"/>
      <c r="P116" s="111"/>
      <c r="Q116" s="65"/>
      <c r="R116" s="65"/>
      <c r="S116" s="65"/>
    </row>
    <row r="117" spans="1:19">
      <c r="A117" s="89" t="s">
        <v>14</v>
      </c>
      <c r="B117" s="89"/>
      <c r="C117" s="89"/>
      <c r="D117" s="89"/>
      <c r="F117" s="98" t="s">
        <v>14</v>
      </c>
      <c r="G117" s="91"/>
      <c r="H117" s="92"/>
      <c r="I117" s="53"/>
      <c r="K117" s="98" t="s">
        <v>14</v>
      </c>
      <c r="L117" s="91"/>
      <c r="M117" s="92"/>
      <c r="N117" s="61"/>
      <c r="P117" s="98" t="s">
        <v>14</v>
      </c>
      <c r="Q117" s="91"/>
      <c r="R117" s="92"/>
      <c r="S117" s="61"/>
    </row>
    <row r="118" spans="1:19">
      <c r="A118" s="25" t="s">
        <v>2</v>
      </c>
      <c r="B118" s="26" t="s">
        <v>3</v>
      </c>
      <c r="C118" s="27" t="s">
        <v>4</v>
      </c>
      <c r="D118" s="28" t="s">
        <v>5</v>
      </c>
      <c r="F118" s="56" t="s">
        <v>2</v>
      </c>
      <c r="G118" s="56" t="s">
        <v>3</v>
      </c>
      <c r="H118" s="56" t="s">
        <v>4</v>
      </c>
      <c r="I118" s="57" t="s">
        <v>5</v>
      </c>
      <c r="K118" s="57" t="s">
        <v>2</v>
      </c>
      <c r="L118" s="57" t="s">
        <v>3</v>
      </c>
      <c r="M118" s="57" t="s">
        <v>4</v>
      </c>
      <c r="N118" s="57" t="s">
        <v>5</v>
      </c>
      <c r="P118" s="110" t="s">
        <v>2</v>
      </c>
      <c r="Q118" s="57" t="s">
        <v>3</v>
      </c>
      <c r="R118" s="57" t="s">
        <v>4</v>
      </c>
      <c r="S118" s="57" t="s">
        <v>5</v>
      </c>
    </row>
    <row r="119" spans="1:19" ht="43.2">
      <c r="A119" s="5">
        <v>46207</v>
      </c>
      <c r="B119" s="38" t="s">
        <v>15</v>
      </c>
      <c r="C119" s="37">
        <v>23</v>
      </c>
      <c r="D119" s="8">
        <f>C119*3.85</f>
        <v>88.55</v>
      </c>
      <c r="F119" s="58">
        <v>46206</v>
      </c>
      <c r="G119" s="59" t="s">
        <v>28</v>
      </c>
      <c r="H119" s="60"/>
      <c r="I119" s="52">
        <f>H119*3.47</f>
        <v>0</v>
      </c>
      <c r="K119" s="58"/>
      <c r="L119" s="59"/>
      <c r="M119" s="60"/>
      <c r="N119" s="61"/>
      <c r="P119" s="110">
        <v>46233</v>
      </c>
      <c r="Q119" s="61" t="s">
        <v>43</v>
      </c>
      <c r="R119" s="68">
        <v>400</v>
      </c>
      <c r="S119" s="68">
        <v>400</v>
      </c>
    </row>
    <row r="120" spans="1:19">
      <c r="A120" s="5">
        <v>46219</v>
      </c>
      <c r="B120" s="6" t="s">
        <v>11</v>
      </c>
      <c r="C120" s="37">
        <v>21.96</v>
      </c>
      <c r="D120" s="8">
        <f>C120*3.85</f>
        <v>84.546000000000006</v>
      </c>
      <c r="F120" s="58">
        <v>46206</v>
      </c>
      <c r="G120" s="59" t="s">
        <v>29</v>
      </c>
      <c r="H120" s="60">
        <v>20.99</v>
      </c>
      <c r="I120" s="52">
        <f>H120*3.47</f>
        <v>72.835300000000004</v>
      </c>
      <c r="K120" s="58"/>
      <c r="L120" s="59"/>
      <c r="M120" s="60"/>
      <c r="N120" s="61"/>
      <c r="P120" s="110">
        <v>46233</v>
      </c>
      <c r="Q120" s="61" t="s">
        <v>40</v>
      </c>
      <c r="R120" s="60">
        <v>100</v>
      </c>
      <c r="S120" s="68">
        <f>R120*3.47</f>
        <v>347</v>
      </c>
    </row>
    <row r="121" spans="1:19">
      <c r="A121" s="5">
        <v>46210</v>
      </c>
      <c r="B121" s="6" t="s">
        <v>6</v>
      </c>
      <c r="C121" s="7">
        <v>10</v>
      </c>
      <c r="D121" s="8">
        <f>C121*3.38</f>
        <v>33.799999999999997</v>
      </c>
      <c r="F121" s="58">
        <v>46227</v>
      </c>
      <c r="G121" s="61" t="s">
        <v>30</v>
      </c>
      <c r="H121" s="52">
        <v>120</v>
      </c>
      <c r="I121" s="52">
        <f>H121</f>
        <v>120</v>
      </c>
      <c r="K121" s="58"/>
      <c r="L121" s="61"/>
      <c r="M121" s="52"/>
      <c r="N121" s="61"/>
      <c r="P121" s="110">
        <v>46228</v>
      </c>
      <c r="Q121" s="61" t="s">
        <v>44</v>
      </c>
      <c r="R121" s="52">
        <v>658</v>
      </c>
      <c r="S121" s="68">
        <f>R121</f>
        <v>658</v>
      </c>
    </row>
    <row r="122" spans="1:19">
      <c r="A122" s="17"/>
      <c r="B122" s="18"/>
      <c r="C122" s="42"/>
      <c r="D122" s="34">
        <f>SUM(D119:D121)</f>
        <v>206.89600000000002</v>
      </c>
      <c r="F122" s="58"/>
      <c r="G122" s="61"/>
      <c r="H122" s="52"/>
      <c r="I122" s="52">
        <f>SUM(I119:I121)</f>
        <v>192.83530000000002</v>
      </c>
      <c r="K122" s="58"/>
      <c r="L122" s="61"/>
      <c r="M122" s="52"/>
      <c r="N122" s="61">
        <f>SUM(N119:N121)</f>
        <v>0</v>
      </c>
      <c r="P122" s="114"/>
      <c r="Q122" s="81"/>
      <c r="R122" s="20"/>
      <c r="S122" s="68">
        <f>SUM(S119:S121)</f>
        <v>1405</v>
      </c>
    </row>
    <row r="123" spans="1:19">
      <c r="A123" s="17"/>
      <c r="B123" s="18"/>
      <c r="C123" s="36"/>
      <c r="D123" s="24"/>
      <c r="F123" s="57"/>
      <c r="G123" s="57"/>
      <c r="H123" s="57"/>
      <c r="I123" s="53"/>
      <c r="K123" s="57"/>
      <c r="L123" s="57"/>
      <c r="M123" s="57"/>
      <c r="N123" s="61"/>
      <c r="P123" s="111"/>
      <c r="Q123" s="65"/>
      <c r="R123" s="65"/>
      <c r="S123" s="50"/>
    </row>
    <row r="124" spans="1:19">
      <c r="A124" s="89" t="s">
        <v>16</v>
      </c>
      <c r="B124" s="89"/>
      <c r="C124" s="89"/>
      <c r="D124" s="89"/>
      <c r="F124" s="98" t="s">
        <v>16</v>
      </c>
      <c r="G124" s="91"/>
      <c r="H124" s="92"/>
      <c r="I124" s="53"/>
      <c r="K124" s="98" t="s">
        <v>16</v>
      </c>
      <c r="L124" s="91"/>
      <c r="M124" s="92"/>
      <c r="N124" s="61"/>
      <c r="P124" s="98" t="s">
        <v>16</v>
      </c>
      <c r="Q124" s="91"/>
      <c r="R124" s="92"/>
      <c r="S124" s="61"/>
    </row>
    <row r="125" spans="1:19">
      <c r="A125" s="25" t="s">
        <v>2</v>
      </c>
      <c r="B125" s="26" t="s">
        <v>3</v>
      </c>
      <c r="C125" s="27" t="s">
        <v>4</v>
      </c>
      <c r="D125" s="28" t="s">
        <v>5</v>
      </c>
      <c r="F125" s="56" t="s">
        <v>2</v>
      </c>
      <c r="G125" s="56" t="s">
        <v>3</v>
      </c>
      <c r="H125" s="56" t="s">
        <v>4</v>
      </c>
      <c r="I125" s="57" t="s">
        <v>5</v>
      </c>
      <c r="K125" s="57" t="s">
        <v>2</v>
      </c>
      <c r="L125" s="57" t="s">
        <v>3</v>
      </c>
      <c r="M125" s="57" t="s">
        <v>4</v>
      </c>
      <c r="N125" s="57" t="s">
        <v>5</v>
      </c>
      <c r="P125" s="110" t="s">
        <v>2</v>
      </c>
      <c r="Q125" s="57" t="s">
        <v>3</v>
      </c>
      <c r="R125" s="57" t="s">
        <v>4</v>
      </c>
      <c r="S125" s="57" t="s">
        <v>5</v>
      </c>
    </row>
    <row r="126" spans="1:19">
      <c r="A126" s="5">
        <v>46238</v>
      </c>
      <c r="B126" s="6" t="s">
        <v>10</v>
      </c>
      <c r="C126" s="37">
        <v>23</v>
      </c>
      <c r="D126" s="8">
        <f>C126*3.88</f>
        <v>89.24</v>
      </c>
      <c r="F126" s="58"/>
      <c r="G126" s="61"/>
      <c r="H126" s="60"/>
      <c r="I126" s="61"/>
      <c r="K126" s="58">
        <v>46252</v>
      </c>
      <c r="L126" s="61" t="s">
        <v>34</v>
      </c>
      <c r="M126" s="60">
        <v>329.25</v>
      </c>
      <c r="N126" s="52">
        <v>0</v>
      </c>
      <c r="P126" s="110">
        <v>46264</v>
      </c>
      <c r="Q126" s="61" t="s">
        <v>43</v>
      </c>
      <c r="R126" s="68">
        <v>400</v>
      </c>
      <c r="S126" s="68">
        <v>400</v>
      </c>
    </row>
    <row r="127" spans="1:19">
      <c r="A127" s="43">
        <v>46219</v>
      </c>
      <c r="B127" s="6" t="s">
        <v>11</v>
      </c>
      <c r="C127" s="37">
        <v>21.96</v>
      </c>
      <c r="D127" s="8">
        <f>C127*3.88</f>
        <v>85.204800000000006</v>
      </c>
      <c r="F127" s="58">
        <v>46252</v>
      </c>
      <c r="G127" s="61" t="s">
        <v>31</v>
      </c>
      <c r="H127" s="60">
        <v>20.99</v>
      </c>
      <c r="I127" s="52">
        <f>H127*3.47</f>
        <v>72.835300000000004</v>
      </c>
      <c r="K127" s="58"/>
      <c r="L127" s="61"/>
      <c r="M127" s="60"/>
      <c r="N127" s="61"/>
      <c r="P127" s="110">
        <v>46264</v>
      </c>
      <c r="Q127" s="61" t="s">
        <v>40</v>
      </c>
      <c r="R127" s="60">
        <v>100</v>
      </c>
      <c r="S127" s="68">
        <f>R127*3.47</f>
        <v>347</v>
      </c>
    </row>
    <row r="128" spans="1:19">
      <c r="A128" s="5">
        <v>46210</v>
      </c>
      <c r="B128" s="6" t="s">
        <v>6</v>
      </c>
      <c r="C128" s="7">
        <v>10</v>
      </c>
      <c r="D128" s="8">
        <f>C128*3.36</f>
        <v>33.6</v>
      </c>
      <c r="F128" s="58"/>
      <c r="G128" s="61"/>
      <c r="H128" s="60"/>
      <c r="I128" s="52"/>
      <c r="K128" s="58"/>
      <c r="L128" s="61"/>
      <c r="M128" s="60"/>
      <c r="N128" s="61"/>
      <c r="P128" s="114">
        <v>46265</v>
      </c>
      <c r="Q128" s="81" t="s">
        <v>44</v>
      </c>
      <c r="R128" s="68">
        <v>389</v>
      </c>
      <c r="S128" s="68">
        <f>R128</f>
        <v>389</v>
      </c>
    </row>
    <row r="129" spans="1:19">
      <c r="A129" s="17"/>
      <c r="B129" s="18"/>
      <c r="C129" s="33"/>
      <c r="D129" s="34">
        <f>SUM(D126:D128)</f>
        <v>208.04479999999998</v>
      </c>
      <c r="F129" s="58"/>
      <c r="G129" s="61"/>
      <c r="H129" s="60"/>
      <c r="I129" s="52">
        <f>SUM(I126:I127)</f>
        <v>72.835300000000004</v>
      </c>
      <c r="K129" s="58"/>
      <c r="L129" s="61"/>
      <c r="M129" s="60"/>
      <c r="N129" s="52">
        <f>SUM(N126:N127)</f>
        <v>0</v>
      </c>
      <c r="P129" s="114"/>
      <c r="Q129" s="81"/>
      <c r="R129" s="82"/>
      <c r="S129" s="68">
        <f>SUM(S126:S128)</f>
        <v>1136</v>
      </c>
    </row>
    <row r="130" spans="1:19">
      <c r="A130" s="17"/>
      <c r="B130" s="18"/>
      <c r="C130" s="36"/>
      <c r="D130" s="24"/>
      <c r="F130" s="57"/>
      <c r="G130" s="57"/>
      <c r="H130" s="57"/>
      <c r="I130" s="53"/>
      <c r="K130" s="57"/>
      <c r="L130" s="57"/>
      <c r="M130" s="57"/>
      <c r="N130" s="61"/>
      <c r="P130" s="111"/>
      <c r="Q130" s="65"/>
      <c r="R130" s="65"/>
      <c r="S130" s="50"/>
    </row>
    <row r="131" spans="1:19">
      <c r="A131" s="89" t="s">
        <v>17</v>
      </c>
      <c r="B131" s="89"/>
      <c r="C131" s="89"/>
      <c r="D131" s="89"/>
      <c r="F131" s="98" t="s">
        <v>17</v>
      </c>
      <c r="G131" s="91"/>
      <c r="H131" s="92"/>
      <c r="I131" s="53"/>
      <c r="K131" s="98" t="s">
        <v>17</v>
      </c>
      <c r="L131" s="91"/>
      <c r="M131" s="92"/>
      <c r="N131" s="61"/>
      <c r="P131" s="98" t="s">
        <v>17</v>
      </c>
      <c r="Q131" s="91"/>
      <c r="R131" s="92"/>
      <c r="S131" s="61"/>
    </row>
    <row r="132" spans="1:19">
      <c r="A132" s="25" t="s">
        <v>2</v>
      </c>
      <c r="B132" s="26" t="s">
        <v>3</v>
      </c>
      <c r="C132" s="27" t="s">
        <v>4</v>
      </c>
      <c r="D132" s="28" t="s">
        <v>5</v>
      </c>
      <c r="F132" s="56" t="s">
        <v>2</v>
      </c>
      <c r="G132" s="56" t="s">
        <v>3</v>
      </c>
      <c r="H132" s="56" t="s">
        <v>4</v>
      </c>
      <c r="I132" s="57" t="s">
        <v>5</v>
      </c>
      <c r="K132" s="57" t="s">
        <v>2</v>
      </c>
      <c r="L132" s="57" t="s">
        <v>3</v>
      </c>
      <c r="M132" s="57" t="s">
        <v>4</v>
      </c>
      <c r="N132" s="57" t="s">
        <v>5</v>
      </c>
      <c r="P132" s="110" t="s">
        <v>2</v>
      </c>
      <c r="Q132" s="57" t="s">
        <v>3</v>
      </c>
      <c r="R132" s="57" t="s">
        <v>4</v>
      </c>
      <c r="S132" s="57" t="s">
        <v>5</v>
      </c>
    </row>
    <row r="133" spans="1:19">
      <c r="A133" s="5">
        <v>46269</v>
      </c>
      <c r="B133" s="6" t="s">
        <v>10</v>
      </c>
      <c r="C133" s="37">
        <v>23</v>
      </c>
      <c r="D133" s="8">
        <f>C133*3.9</f>
        <v>89.7</v>
      </c>
      <c r="F133" s="57"/>
      <c r="G133" s="57"/>
      <c r="H133" s="57"/>
      <c r="I133" s="61"/>
      <c r="K133" s="57"/>
      <c r="L133" s="57"/>
      <c r="M133" s="57"/>
      <c r="N133" s="61"/>
      <c r="P133" s="110">
        <v>46268</v>
      </c>
      <c r="Q133" s="61" t="s">
        <v>43</v>
      </c>
      <c r="R133" s="68">
        <v>370</v>
      </c>
      <c r="S133" s="68">
        <v>400</v>
      </c>
    </row>
    <row r="134" spans="1:19">
      <c r="A134" s="5">
        <v>46281</v>
      </c>
      <c r="B134" s="6" t="s">
        <v>11</v>
      </c>
      <c r="C134" s="37">
        <v>21.96</v>
      </c>
      <c r="D134" s="8">
        <f>C134*3.9</f>
        <v>85.644000000000005</v>
      </c>
      <c r="F134" s="57"/>
      <c r="G134" s="57"/>
      <c r="H134" s="57"/>
      <c r="I134" s="61"/>
      <c r="K134" s="57"/>
      <c r="L134" s="57"/>
      <c r="M134" s="57"/>
      <c r="N134" s="61"/>
      <c r="P134" s="110">
        <v>46295</v>
      </c>
      <c r="Q134" s="61" t="s">
        <v>40</v>
      </c>
      <c r="R134" s="60">
        <v>100</v>
      </c>
      <c r="S134" s="68">
        <f>226</f>
        <v>226</v>
      </c>
    </row>
    <row r="135" spans="1:19">
      <c r="A135" s="5">
        <v>46272</v>
      </c>
      <c r="B135" s="6" t="s">
        <v>6</v>
      </c>
      <c r="C135" s="7">
        <v>10</v>
      </c>
      <c r="D135" s="8">
        <f>C135*3.35</f>
        <v>33.5</v>
      </c>
      <c r="F135" s="57"/>
      <c r="G135" s="57"/>
      <c r="H135" s="57"/>
      <c r="I135" s="61"/>
      <c r="K135" s="57"/>
      <c r="L135" s="57"/>
      <c r="M135" s="57"/>
      <c r="N135" s="61"/>
      <c r="P135" s="110">
        <v>46290</v>
      </c>
      <c r="Q135" s="61" t="s">
        <v>44</v>
      </c>
      <c r="R135" s="68">
        <v>389</v>
      </c>
      <c r="S135" s="68">
        <f>R135</f>
        <v>389</v>
      </c>
    </row>
    <row r="136" spans="1:19">
      <c r="A136" s="5"/>
      <c r="B136" s="9"/>
      <c r="C136" s="10"/>
      <c r="D136" s="8"/>
      <c r="F136" s="57"/>
      <c r="G136" s="57"/>
      <c r="H136" s="57"/>
      <c r="I136" s="61"/>
      <c r="K136" s="57"/>
      <c r="L136" s="57"/>
      <c r="M136" s="57"/>
      <c r="N136" s="61"/>
      <c r="P136" s="110">
        <v>46295</v>
      </c>
      <c r="Q136" s="61" t="s">
        <v>40</v>
      </c>
      <c r="R136" s="60">
        <v>59.62</v>
      </c>
      <c r="S136" s="68">
        <f>R136*3.47</f>
        <v>206.88140000000001</v>
      </c>
    </row>
    <row r="137" spans="1:19">
      <c r="A137" s="17"/>
      <c r="B137" s="18"/>
      <c r="C137" s="36"/>
      <c r="D137" s="8">
        <f>SUM(D133:D136)</f>
        <v>208.84399999999999</v>
      </c>
      <c r="F137" s="57"/>
      <c r="G137" s="57"/>
      <c r="H137" s="57"/>
      <c r="I137" s="66">
        <f>SUM(I133:I136)</f>
        <v>0</v>
      </c>
      <c r="K137" s="57"/>
      <c r="L137" s="57"/>
      <c r="M137" s="57"/>
      <c r="N137" s="61">
        <f>SUM(N133:N136)</f>
        <v>0</v>
      </c>
      <c r="P137" s="111"/>
      <c r="Q137" s="65"/>
      <c r="R137" s="65"/>
      <c r="S137" s="68">
        <f>SUM(S133:S136)</f>
        <v>1221.8814</v>
      </c>
    </row>
    <row r="138" spans="1:19">
      <c r="A138" s="89" t="s">
        <v>45</v>
      </c>
      <c r="B138" s="89"/>
      <c r="C138" s="89"/>
      <c r="D138" s="89"/>
      <c r="E138" s="53"/>
      <c r="F138" s="98" t="s">
        <v>45</v>
      </c>
      <c r="G138" s="91"/>
      <c r="H138" s="92"/>
      <c r="I138" s="53"/>
      <c r="J138" s="53"/>
      <c r="K138" s="98" t="s">
        <v>45</v>
      </c>
      <c r="L138" s="91"/>
      <c r="M138" s="92"/>
      <c r="N138" s="61"/>
      <c r="O138" s="53"/>
      <c r="P138" s="98" t="s">
        <v>45</v>
      </c>
      <c r="Q138" s="91"/>
      <c r="R138" s="92"/>
      <c r="S138" s="61"/>
    </row>
    <row r="139" spans="1:19">
      <c r="A139" s="25" t="s">
        <v>2</v>
      </c>
      <c r="B139" s="26" t="s">
        <v>3</v>
      </c>
      <c r="C139" s="27" t="s">
        <v>4</v>
      </c>
      <c r="D139" s="28" t="s">
        <v>5</v>
      </c>
      <c r="E139" s="53"/>
      <c r="F139" s="56" t="s">
        <v>2</v>
      </c>
      <c r="G139" s="56" t="s">
        <v>3</v>
      </c>
      <c r="H139" s="56" t="s">
        <v>4</v>
      </c>
      <c r="I139" s="57" t="s">
        <v>5</v>
      </c>
      <c r="J139" s="53"/>
      <c r="K139" s="57" t="s">
        <v>2</v>
      </c>
      <c r="L139" s="57" t="s">
        <v>3</v>
      </c>
      <c r="M139" s="57" t="s">
        <v>4</v>
      </c>
      <c r="N139" s="57" t="s">
        <v>5</v>
      </c>
      <c r="O139" s="65"/>
      <c r="P139" s="110" t="s">
        <v>2</v>
      </c>
      <c r="Q139" s="57" t="s">
        <v>3</v>
      </c>
      <c r="R139" s="57" t="s">
        <v>4</v>
      </c>
      <c r="S139" s="57" t="s">
        <v>5</v>
      </c>
    </row>
    <row r="140" spans="1:19" ht="43.2">
      <c r="A140" s="5">
        <v>46299</v>
      </c>
      <c r="B140" s="6" t="s">
        <v>10</v>
      </c>
      <c r="C140" s="37">
        <v>23</v>
      </c>
      <c r="D140" s="8">
        <f>C140*3.9</f>
        <v>89.7</v>
      </c>
      <c r="E140" s="53"/>
      <c r="F140" s="58">
        <v>46306</v>
      </c>
      <c r="G140" s="59" t="s">
        <v>46</v>
      </c>
      <c r="H140" s="60">
        <v>20.99</v>
      </c>
      <c r="I140" s="52">
        <f>H140*3.47</f>
        <v>72.835300000000004</v>
      </c>
      <c r="J140" s="53"/>
      <c r="K140" s="58"/>
      <c r="L140" s="59"/>
      <c r="M140" s="60"/>
      <c r="N140" s="61"/>
      <c r="O140" s="50"/>
      <c r="P140" s="110">
        <v>46325</v>
      </c>
      <c r="Q140" s="59" t="s">
        <v>44</v>
      </c>
      <c r="R140" s="68">
        <v>389</v>
      </c>
      <c r="S140" s="68">
        <f>R140</f>
        <v>389</v>
      </c>
    </row>
    <row r="141" spans="1:19">
      <c r="A141" s="5">
        <v>46302</v>
      </c>
      <c r="B141" s="6" t="s">
        <v>6</v>
      </c>
      <c r="C141" s="7">
        <v>10</v>
      </c>
      <c r="D141" s="8">
        <f>C141*3.37</f>
        <v>33.700000000000003</v>
      </c>
      <c r="E141" s="53"/>
      <c r="F141" s="58"/>
      <c r="G141" s="59"/>
      <c r="H141" s="60"/>
      <c r="I141" s="52"/>
      <c r="J141" s="53"/>
      <c r="K141" s="58"/>
      <c r="L141" s="59"/>
      <c r="M141" s="60"/>
      <c r="N141" s="61"/>
      <c r="O141" s="50"/>
      <c r="P141" s="114"/>
      <c r="Q141" s="83"/>
      <c r="R141" s="84"/>
      <c r="S141" s="68"/>
    </row>
    <row r="142" spans="1:19">
      <c r="A142" s="5">
        <v>46311</v>
      </c>
      <c r="B142" s="6" t="s">
        <v>11</v>
      </c>
      <c r="C142" s="37">
        <v>21.96</v>
      </c>
      <c r="D142" s="8">
        <f>C142*3.9</f>
        <v>85.644000000000005</v>
      </c>
      <c r="E142" s="53"/>
      <c r="F142" s="58">
        <v>46319</v>
      </c>
      <c r="G142" s="61" t="s">
        <v>47</v>
      </c>
      <c r="H142" s="52">
        <v>120</v>
      </c>
      <c r="I142" s="52">
        <f>H142</f>
        <v>120</v>
      </c>
      <c r="J142" s="53"/>
      <c r="K142" s="58"/>
      <c r="L142" s="61"/>
      <c r="M142" s="52"/>
      <c r="N142" s="61"/>
      <c r="O142" s="50"/>
      <c r="P142" s="114"/>
      <c r="Q142" s="81"/>
      <c r="R142" s="20"/>
      <c r="S142" s="68"/>
    </row>
    <row r="143" spans="1:19">
      <c r="A143" s="17"/>
      <c r="B143" s="18"/>
      <c r="C143" s="42"/>
      <c r="D143" s="34">
        <f>SUM(D140:D142)</f>
        <v>209.04400000000001</v>
      </c>
      <c r="E143" s="53"/>
      <c r="F143" s="58"/>
      <c r="G143" s="61"/>
      <c r="H143" s="52"/>
      <c r="I143" s="52">
        <f>SUM(I140:I142)</f>
        <v>192.83530000000002</v>
      </c>
      <c r="J143" s="53"/>
      <c r="K143" s="58"/>
      <c r="L143" s="61"/>
      <c r="M143" s="52"/>
      <c r="N143" s="61">
        <f>SUM(N140:N142)</f>
        <v>0</v>
      </c>
      <c r="O143" s="53"/>
      <c r="P143" s="111"/>
      <c r="Q143" s="50"/>
      <c r="R143" s="76"/>
      <c r="S143" s="68">
        <f>SUM(S140:S142)</f>
        <v>389</v>
      </c>
    </row>
    <row r="144" spans="1:19">
      <c r="A144" s="17"/>
      <c r="B144" s="18"/>
      <c r="C144" s="36"/>
      <c r="D144" s="24"/>
      <c r="E144" s="53"/>
      <c r="F144" s="57"/>
      <c r="G144" s="57"/>
      <c r="H144" s="57"/>
      <c r="I144" s="53"/>
      <c r="J144" s="53"/>
      <c r="K144" s="57"/>
      <c r="L144" s="57"/>
      <c r="M144" s="57"/>
      <c r="N144" s="61"/>
      <c r="O144" s="53"/>
      <c r="P144" s="111"/>
      <c r="Q144" s="65"/>
      <c r="R144" s="65"/>
      <c r="S144" s="50"/>
    </row>
    <row r="145" spans="1:19">
      <c r="A145" s="89" t="s">
        <v>48</v>
      </c>
      <c r="B145" s="89"/>
      <c r="C145" s="89"/>
      <c r="D145" s="89"/>
      <c r="E145" s="53"/>
      <c r="F145" s="98" t="s">
        <v>48</v>
      </c>
      <c r="G145" s="91"/>
      <c r="H145" s="92"/>
      <c r="I145" s="53"/>
      <c r="J145" s="53"/>
      <c r="K145" s="98" t="s">
        <v>48</v>
      </c>
      <c r="L145" s="91"/>
      <c r="M145" s="92"/>
      <c r="N145" s="61"/>
      <c r="O145" s="53"/>
      <c r="P145" s="98" t="s">
        <v>48</v>
      </c>
      <c r="Q145" s="91"/>
      <c r="R145" s="92"/>
      <c r="S145" s="61"/>
    </row>
    <row r="146" spans="1:19">
      <c r="A146" s="25" t="s">
        <v>2</v>
      </c>
      <c r="B146" s="26" t="s">
        <v>3</v>
      </c>
      <c r="C146" s="27" t="s">
        <v>4</v>
      </c>
      <c r="D146" s="28" t="s">
        <v>5</v>
      </c>
      <c r="E146" s="53"/>
      <c r="F146" s="56" t="s">
        <v>2</v>
      </c>
      <c r="G146" s="56" t="s">
        <v>3</v>
      </c>
      <c r="H146" s="56" t="s">
        <v>4</v>
      </c>
      <c r="I146" s="57" t="s">
        <v>5</v>
      </c>
      <c r="J146" s="53"/>
      <c r="K146" s="57" t="s">
        <v>2</v>
      </c>
      <c r="L146" s="57" t="s">
        <v>3</v>
      </c>
      <c r="M146" s="57" t="s">
        <v>4</v>
      </c>
      <c r="N146" s="57" t="s">
        <v>5</v>
      </c>
      <c r="O146" s="65"/>
      <c r="P146" s="110" t="s">
        <v>2</v>
      </c>
      <c r="Q146" s="57" t="s">
        <v>3</v>
      </c>
      <c r="R146" s="57" t="s">
        <v>4</v>
      </c>
      <c r="S146" s="57" t="s">
        <v>5</v>
      </c>
    </row>
    <row r="147" spans="1:19">
      <c r="A147" s="5">
        <v>46330</v>
      </c>
      <c r="B147" s="6" t="s">
        <v>10</v>
      </c>
      <c r="C147" s="37">
        <v>23</v>
      </c>
      <c r="D147" s="8">
        <f>C147*3.9</f>
        <v>89.7</v>
      </c>
      <c r="E147" s="53"/>
      <c r="F147" s="57"/>
      <c r="G147" s="57"/>
      <c r="H147" s="57"/>
      <c r="I147" s="53"/>
      <c r="J147" s="53"/>
      <c r="K147" s="57"/>
      <c r="L147" s="57"/>
      <c r="M147" s="57"/>
      <c r="N147" s="61"/>
      <c r="O147" s="53"/>
      <c r="P147" s="110">
        <v>46356</v>
      </c>
      <c r="Q147" s="57" t="s">
        <v>44</v>
      </c>
      <c r="R147" s="68">
        <v>389</v>
      </c>
      <c r="S147" s="68">
        <f>R147</f>
        <v>389</v>
      </c>
    </row>
    <row r="148" spans="1:19">
      <c r="A148" s="5">
        <v>46333</v>
      </c>
      <c r="B148" s="6" t="s">
        <v>6</v>
      </c>
      <c r="C148" s="7">
        <v>10</v>
      </c>
      <c r="D148" s="8">
        <f>C148*3.37</f>
        <v>33.700000000000003</v>
      </c>
      <c r="E148" s="53"/>
      <c r="F148" s="57"/>
      <c r="G148" s="57"/>
      <c r="H148" s="57"/>
      <c r="I148" s="53"/>
      <c r="J148" s="53"/>
      <c r="K148" s="57"/>
      <c r="L148" s="57"/>
      <c r="M148" s="57"/>
      <c r="N148" s="61"/>
      <c r="O148" s="53"/>
      <c r="P148" s="110"/>
      <c r="Q148" s="57"/>
      <c r="R148" s="68"/>
      <c r="S148" s="68"/>
    </row>
    <row r="149" spans="1:19" ht="28.8">
      <c r="A149" s="5">
        <v>46342</v>
      </c>
      <c r="B149" s="6" t="s">
        <v>11</v>
      </c>
      <c r="C149" s="37">
        <v>21.96</v>
      </c>
      <c r="D149" s="8">
        <f>C149*3.9</f>
        <v>85.644000000000005</v>
      </c>
      <c r="E149" s="53"/>
      <c r="F149" s="58">
        <v>46354</v>
      </c>
      <c r="G149" s="59" t="s">
        <v>49</v>
      </c>
      <c r="H149" s="60">
        <v>20.99</v>
      </c>
      <c r="I149" s="52">
        <f>H149*3.47</f>
        <v>72.835300000000004</v>
      </c>
      <c r="J149" s="53"/>
      <c r="K149" s="58"/>
      <c r="L149" s="59"/>
      <c r="M149" s="60"/>
      <c r="N149" s="61"/>
      <c r="O149" s="53"/>
      <c r="P149" s="110"/>
      <c r="Q149" s="59"/>
      <c r="R149" s="60"/>
      <c r="S149" s="68"/>
    </row>
    <row r="150" spans="1:19">
      <c r="A150" s="17"/>
      <c r="B150" s="32"/>
      <c r="C150" s="33"/>
      <c r="D150" s="34">
        <f>SUM(D147:D149)</f>
        <v>209.04400000000001</v>
      </c>
      <c r="E150" s="53"/>
      <c r="F150" s="58"/>
      <c r="G150" s="59"/>
      <c r="H150" s="60"/>
      <c r="I150" s="52">
        <f>SUM(I147:I149)</f>
        <v>72.835300000000004</v>
      </c>
      <c r="J150" s="53"/>
      <c r="K150" s="58"/>
      <c r="L150" s="59"/>
      <c r="M150" s="60"/>
      <c r="N150" s="61">
        <f>SUM(N147:N149)</f>
        <v>0</v>
      </c>
      <c r="O150" s="53"/>
      <c r="P150" s="111"/>
      <c r="Q150" s="74"/>
      <c r="R150" s="75"/>
      <c r="S150" s="68">
        <f>SUM(S147:S149)</f>
        <v>389</v>
      </c>
    </row>
    <row r="151" spans="1:19">
      <c r="A151" s="17"/>
      <c r="B151" s="32"/>
      <c r="C151" s="33"/>
      <c r="D151" s="24"/>
      <c r="E151" s="53"/>
      <c r="F151" s="58"/>
      <c r="G151" s="59"/>
      <c r="H151" s="60"/>
      <c r="I151" s="53"/>
      <c r="J151" s="53"/>
      <c r="K151" s="58"/>
      <c r="L151" s="59"/>
      <c r="M151" s="60"/>
      <c r="N151" s="61"/>
      <c r="O151" s="53"/>
      <c r="P151" s="111"/>
      <c r="Q151" s="74"/>
      <c r="R151" s="75"/>
      <c r="S151" s="50"/>
    </row>
    <row r="152" spans="1:19">
      <c r="A152" s="89" t="s">
        <v>50</v>
      </c>
      <c r="B152" s="89"/>
      <c r="C152" s="89"/>
      <c r="D152" s="89"/>
      <c r="E152" s="53"/>
      <c r="F152" s="98" t="s">
        <v>50</v>
      </c>
      <c r="G152" s="91"/>
      <c r="H152" s="92"/>
      <c r="I152" s="53"/>
      <c r="J152" s="53"/>
      <c r="K152" s="98" t="s">
        <v>50</v>
      </c>
      <c r="L152" s="91"/>
      <c r="M152" s="92"/>
      <c r="N152" s="61"/>
      <c r="O152" s="53"/>
      <c r="P152" s="98" t="s">
        <v>50</v>
      </c>
      <c r="Q152" s="91"/>
      <c r="R152" s="92"/>
      <c r="S152" s="61"/>
    </row>
    <row r="153" spans="1:19">
      <c r="A153" s="25" t="s">
        <v>2</v>
      </c>
      <c r="B153" s="26" t="s">
        <v>3</v>
      </c>
      <c r="C153" s="27" t="s">
        <v>4</v>
      </c>
      <c r="D153" s="28" t="s">
        <v>5</v>
      </c>
      <c r="E153" s="53"/>
      <c r="F153" s="56" t="s">
        <v>2</v>
      </c>
      <c r="G153" s="56" t="s">
        <v>3</v>
      </c>
      <c r="H153" s="56" t="s">
        <v>4</v>
      </c>
      <c r="I153" s="57" t="s">
        <v>5</v>
      </c>
      <c r="J153" s="53"/>
      <c r="K153" s="57" t="s">
        <v>2</v>
      </c>
      <c r="L153" s="57" t="s">
        <v>3</v>
      </c>
      <c r="M153" s="57" t="s">
        <v>4</v>
      </c>
      <c r="N153" s="57" t="s">
        <v>5</v>
      </c>
      <c r="O153" s="65"/>
      <c r="P153" s="110" t="s">
        <v>2</v>
      </c>
      <c r="Q153" s="57" t="s">
        <v>3</v>
      </c>
      <c r="R153" s="57" t="s">
        <v>4</v>
      </c>
      <c r="S153" s="57" t="s">
        <v>5</v>
      </c>
    </row>
    <row r="154" spans="1:19">
      <c r="A154" s="5">
        <v>46360</v>
      </c>
      <c r="B154" s="6" t="s">
        <v>10</v>
      </c>
      <c r="C154" s="37">
        <v>23</v>
      </c>
      <c r="D154" s="8">
        <f>C154*3.9</f>
        <v>89.7</v>
      </c>
      <c r="E154" s="53"/>
      <c r="F154" s="58"/>
      <c r="G154" s="61"/>
      <c r="H154" s="60"/>
      <c r="I154" s="61"/>
      <c r="J154" s="53"/>
      <c r="K154" s="58">
        <v>46368</v>
      </c>
      <c r="L154" s="61" t="s">
        <v>51</v>
      </c>
      <c r="M154" s="85">
        <v>525</v>
      </c>
      <c r="N154" s="52">
        <f>M154*3.47</f>
        <v>1821.75</v>
      </c>
      <c r="O154" s="50"/>
      <c r="P154" s="110">
        <v>46379</v>
      </c>
      <c r="Q154" s="61" t="s">
        <v>44</v>
      </c>
      <c r="R154" s="68">
        <v>389</v>
      </c>
      <c r="S154" s="52">
        <f>R154</f>
        <v>389</v>
      </c>
    </row>
    <row r="155" spans="1:19">
      <c r="A155" s="5">
        <v>46333</v>
      </c>
      <c r="B155" s="6" t="s">
        <v>6</v>
      </c>
      <c r="C155" s="7">
        <v>10</v>
      </c>
      <c r="D155" s="8">
        <f>C155*3.37</f>
        <v>33.700000000000003</v>
      </c>
      <c r="E155" s="53"/>
      <c r="F155" s="58"/>
      <c r="G155" s="61"/>
      <c r="H155" s="60"/>
      <c r="I155" s="61"/>
      <c r="J155" s="53"/>
      <c r="K155" s="58"/>
      <c r="L155" s="61"/>
      <c r="M155" s="85"/>
      <c r="N155" s="52"/>
      <c r="O155" s="50"/>
      <c r="P155" s="110"/>
      <c r="Q155" s="61"/>
      <c r="R155" s="68"/>
      <c r="S155" s="52"/>
    </row>
    <row r="156" spans="1:19">
      <c r="A156" s="5">
        <v>46372</v>
      </c>
      <c r="B156" s="6" t="s">
        <v>11</v>
      </c>
      <c r="C156" s="37">
        <v>21.96</v>
      </c>
      <c r="D156" s="8">
        <f>C156*3.9</f>
        <v>85.644000000000005</v>
      </c>
      <c r="E156" s="53"/>
      <c r="F156" s="58"/>
      <c r="G156" s="61"/>
      <c r="H156" s="60"/>
      <c r="I156" s="61"/>
      <c r="J156" s="53"/>
      <c r="K156" s="58"/>
      <c r="L156" s="61"/>
      <c r="M156" s="60"/>
      <c r="N156" s="52"/>
      <c r="O156" s="50"/>
      <c r="P156" s="110"/>
      <c r="Q156" s="61"/>
      <c r="R156" s="60"/>
      <c r="S156" s="61"/>
    </row>
    <row r="157" spans="1:19">
      <c r="A157" s="86"/>
      <c r="B157" s="87"/>
      <c r="C157" s="88"/>
      <c r="D157" s="66">
        <f>SUM(D154:D156)</f>
        <v>209.04400000000001</v>
      </c>
      <c r="E157" s="53"/>
      <c r="F157" s="53"/>
      <c r="G157" s="53"/>
      <c r="H157" s="53"/>
      <c r="I157" s="66">
        <f>SUM(I154:I156)</f>
        <v>0</v>
      </c>
      <c r="J157" s="53"/>
      <c r="K157" s="53"/>
      <c r="L157" s="53"/>
      <c r="M157" s="53"/>
      <c r="N157" s="68">
        <f>SUM(N154:N156)</f>
        <v>1821.75</v>
      </c>
      <c r="O157" s="53"/>
      <c r="P157" s="86"/>
      <c r="Q157" s="53"/>
      <c r="R157" s="53"/>
      <c r="S157" s="52">
        <f>SUM(S154:S156)</f>
        <v>389</v>
      </c>
    </row>
    <row r="158" spans="1:19">
      <c r="A158" s="86"/>
      <c r="B158" s="87"/>
      <c r="C158" s="88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86"/>
      <c r="Q158" s="53"/>
      <c r="R158" s="53"/>
      <c r="S158" s="53"/>
    </row>
    <row r="159" spans="1:19">
      <c r="A159" s="86"/>
      <c r="B159" s="87"/>
      <c r="C159" s="88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109" t="s">
        <v>1</v>
      </c>
      <c r="Q159" s="109"/>
      <c r="R159" s="109"/>
      <c r="S159" s="109"/>
    </row>
    <row r="160" spans="1:19">
      <c r="A160" s="86"/>
      <c r="B160" s="87"/>
      <c r="C160" s="88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110"/>
      <c r="Q160" s="61" t="s">
        <v>44</v>
      </c>
      <c r="R160" s="68">
        <v>389</v>
      </c>
      <c r="S160" s="52">
        <f>R160</f>
        <v>389</v>
      </c>
    </row>
    <row r="161" spans="1:19">
      <c r="A161" s="86"/>
      <c r="B161" s="87"/>
      <c r="C161" s="88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110">
        <v>46417</v>
      </c>
      <c r="Q161" s="61"/>
      <c r="R161" s="60"/>
      <c r="S161" s="61"/>
    </row>
    <row r="162" spans="1:19">
      <c r="A162" s="86"/>
      <c r="B162" s="87"/>
      <c r="C162" s="88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86"/>
      <c r="Q162" s="53"/>
      <c r="R162" s="53"/>
      <c r="S162" s="52">
        <f>SUM(S160:S161)</f>
        <v>389</v>
      </c>
    </row>
  </sheetData>
  <mergeCells count="53">
    <mergeCell ref="P159:S159"/>
    <mergeCell ref="A145:D145"/>
    <mergeCell ref="F145:H145"/>
    <mergeCell ref="K145:M145"/>
    <mergeCell ref="P145:R145"/>
    <mergeCell ref="A152:D152"/>
    <mergeCell ref="F152:H152"/>
    <mergeCell ref="K152:M152"/>
    <mergeCell ref="P152:R152"/>
    <mergeCell ref="A138:D138"/>
    <mergeCell ref="F138:H138"/>
    <mergeCell ref="K138:M138"/>
    <mergeCell ref="P138:R138"/>
    <mergeCell ref="K109:M109"/>
    <mergeCell ref="K117:M117"/>
    <mergeCell ref="K124:M124"/>
    <mergeCell ref="K131:M131"/>
    <mergeCell ref="A109:D109"/>
    <mergeCell ref="A117:D117"/>
    <mergeCell ref="A124:D124"/>
    <mergeCell ref="A131:D131"/>
    <mergeCell ref="P1:S1"/>
    <mergeCell ref="P2:R2"/>
    <mergeCell ref="P24:R24"/>
    <mergeCell ref="P42:R42"/>
    <mergeCell ref="P61:R61"/>
    <mergeCell ref="P86:R86"/>
    <mergeCell ref="F109:H109"/>
    <mergeCell ref="F117:H117"/>
    <mergeCell ref="F124:H124"/>
    <mergeCell ref="F131:H131"/>
    <mergeCell ref="K86:M86"/>
    <mergeCell ref="F86:H86"/>
    <mergeCell ref="P109:R109"/>
    <mergeCell ref="P117:R117"/>
    <mergeCell ref="P124:R124"/>
    <mergeCell ref="P131:R131"/>
    <mergeCell ref="K1:N1"/>
    <mergeCell ref="K2:N2"/>
    <mergeCell ref="K24:M24"/>
    <mergeCell ref="K42:M42"/>
    <mergeCell ref="K61:M61"/>
    <mergeCell ref="F1:I1"/>
    <mergeCell ref="F2:I2"/>
    <mergeCell ref="F24:I24"/>
    <mergeCell ref="F42:H42"/>
    <mergeCell ref="F61:H61"/>
    <mergeCell ref="A86:D86"/>
    <mergeCell ref="A1:D1"/>
    <mergeCell ref="A2:D2"/>
    <mergeCell ref="A24:D24"/>
    <mergeCell ref="A42:D42"/>
    <mergeCell ref="A61:D61"/>
  </mergeCells>
  <hyperlinks>
    <hyperlink ref="G39" r:id="rId1"/>
    <hyperlink ref="G58" r:id="rId2"/>
    <hyperlink ref="G88" r:id="rId3"/>
    <hyperlink ref="G119" r:id="rId4"/>
    <hyperlink ref="G120" r:id="rId5"/>
    <hyperlink ref="G140" r:id="rId6"/>
    <hyperlink ref="G149" r:id="rId7"/>
  </hyperlinks>
  <pageMargins left="0.7" right="0.7" top="0.75" bottom="0.75" header="0.3" footer="0.3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RRamos</dc:creator>
  <cp:lastModifiedBy>RRamos</cp:lastModifiedBy>
  <dcterms:created xsi:type="dcterms:W3CDTF">2026-09-29T14:33:02Z</dcterms:created>
  <dcterms:modified xsi:type="dcterms:W3CDTF">2026-09-30T09:30:24Z</dcterms:modified>
</cp:coreProperties>
</file>